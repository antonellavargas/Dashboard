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efaxpesa.sharepoint.com/sites/ti2/Shared Documents/01. Inventario de Equipos TI/"/>
    </mc:Choice>
  </mc:AlternateContent>
  <xr:revisionPtr revIDLastSave="0" documentId="8_{5B4E1C59-B1EA-4389-8B32-1B6892FBC338}" xr6:coauthVersionLast="47" xr6:coauthVersionMax="47" xr10:uidLastSave="{00000000-0000-0000-0000-000000000000}"/>
  <bookViews>
    <workbookView xWindow="-105" yWindow="0" windowWidth="10455" windowHeight="10905" firstSheet="5" activeTab="5" xr2:uid="{C9D841F2-05BF-4FF8-9E3F-B7A5C96A7955}"/>
  </bookViews>
  <sheets>
    <sheet name="DASHBOARD" sheetId="11" r:id="rId1"/>
    <sheet name="TABLAS DINÁMICAS" sheetId="12" r:id="rId2"/>
    <sheet name="DATA PERSONAL" sheetId="10" r:id="rId3"/>
    <sheet name="DATA" sheetId="14" state="hidden" r:id="rId4"/>
    <sheet name="CELULARES" sheetId="1" r:id="rId5"/>
    <sheet name="LAPTOPS" sheetId="2" r:id="rId6"/>
    <sheet name="EQUIPOS REPORTADOS" sheetId="15" r:id="rId7"/>
    <sheet name="IMPRESORAS" sheetId="3" r:id="rId8"/>
    <sheet name="MONITORES" sheetId="4" r:id="rId9"/>
    <sheet name="EXCHANGE" sheetId="13" r:id="rId10"/>
    <sheet name="ASIGNACIÓN CHIPS" sheetId="5" r:id="rId11"/>
    <sheet name="MODEM" sheetId="6" r:id="rId12"/>
    <sheet name="TRF" sheetId="7" r:id="rId13"/>
    <sheet name="DATACENTER - SI" sheetId="8" r:id="rId14"/>
    <sheet name="DATACENTER - PH" sheetId="9" r:id="rId15"/>
  </sheets>
  <definedNames>
    <definedName name="SegmentaciónDeDatos_ÁREA">#N/A</definedName>
    <definedName name="SegmentaciónDeDatos_ÁREA1">#N/A</definedName>
    <definedName name="SegmentaciónDeDatos_TIPO_DE_EQUIPO">#N/A</definedName>
    <definedName name="SegmentaciónDeDatos_TIPO_EQUIPO">#N/A</definedName>
  </definedNames>
  <calcPr calcId="191028"/>
  <pivotCaches>
    <pivotCache cacheId="1407" r:id="rId16"/>
    <pivotCache cacheId="1408" r:id="rId17"/>
    <pivotCache cacheId="1409" r:id="rId18"/>
    <pivotCache cacheId="1410" r:id="rId19"/>
    <pivotCache cacheId="1411" r:id="rId20"/>
    <pivotCache cacheId="1412" r:id="rId21"/>
    <pivotCache cacheId="1413" r:id="rId22"/>
    <pivotCache cacheId="1414" r:id="rId23"/>
  </pivotCaches>
  <extLst>
    <ext xmlns:x14="http://schemas.microsoft.com/office/spreadsheetml/2009/9/main" uri="{BBE1A952-AA13-448e-AADC-164F8A28A991}">
      <x14:slicerCaches>
        <x14:slicerCache r:id="rId24"/>
        <x14:slicerCache r:id="rId25"/>
        <x14:slicerCache r:id="rId26"/>
        <x14:slicerCache r:id="rId2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8" i="1" l="1"/>
  <c r="Q146" i="1"/>
  <c r="M27" i="10"/>
  <c r="N27" i="10"/>
  <c r="M45" i="10"/>
  <c r="N45" i="10"/>
  <c r="Q139" i="1"/>
  <c r="Q26" i="1"/>
  <c r="W142" i="2"/>
  <c r="M44" i="10"/>
  <c r="N44" i="10"/>
  <c r="Q38" i="1"/>
  <c r="M113" i="10"/>
  <c r="N113" i="10"/>
  <c r="M52" i="10"/>
  <c r="N52" i="10"/>
  <c r="M31" i="10"/>
  <c r="N31" i="10"/>
  <c r="M84" i="10"/>
  <c r="N84" i="10"/>
  <c r="M145" i="10"/>
  <c r="N145" i="10"/>
  <c r="W53" i="2"/>
  <c r="W7" i="2"/>
  <c r="W169" i="2"/>
  <c r="W144" i="2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2" i="14"/>
  <c r="M3" i="10"/>
  <c r="M4" i="10"/>
  <c r="M5" i="10"/>
  <c r="M6" i="10"/>
  <c r="M7" i="10"/>
  <c r="M9" i="10"/>
  <c r="M8" i="10"/>
  <c r="M11" i="10"/>
  <c r="M10" i="10"/>
  <c r="M12" i="10"/>
  <c r="M13" i="10"/>
  <c r="M14" i="10"/>
  <c r="M69" i="10"/>
  <c r="M16" i="10"/>
  <c r="M18" i="10"/>
  <c r="M17" i="10"/>
  <c r="M19" i="10"/>
  <c r="M21" i="10"/>
  <c r="M22" i="10"/>
  <c r="M23" i="10"/>
  <c r="M24" i="10"/>
  <c r="M25" i="10"/>
  <c r="M26" i="10"/>
  <c r="M28" i="10"/>
  <c r="M29" i="10"/>
  <c r="M30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7" i="10"/>
  <c r="M48" i="10"/>
  <c r="M49" i="10"/>
  <c r="M50" i="10"/>
  <c r="M51" i="10"/>
  <c r="M53" i="10"/>
  <c r="M54" i="10"/>
  <c r="M55" i="10"/>
  <c r="M56" i="10"/>
  <c r="M57" i="10"/>
  <c r="M58" i="10"/>
  <c r="M59" i="10"/>
  <c r="M61" i="10"/>
  <c r="M60" i="10"/>
  <c r="M62" i="10"/>
  <c r="M63" i="10"/>
  <c r="M64" i="10"/>
  <c r="M65" i="10"/>
  <c r="M67" i="10"/>
  <c r="M66" i="10"/>
  <c r="M68" i="10"/>
  <c r="M70" i="10"/>
  <c r="M71" i="10"/>
  <c r="M72" i="10"/>
  <c r="M73" i="10"/>
  <c r="M74" i="10"/>
  <c r="M75" i="10"/>
  <c r="M15" i="10"/>
  <c r="M76" i="10"/>
  <c r="M77" i="10"/>
  <c r="M103" i="10"/>
  <c r="M78" i="10"/>
  <c r="M80" i="10"/>
  <c r="M79" i="10"/>
  <c r="M81" i="10"/>
  <c r="M82" i="10"/>
  <c r="M83" i="10"/>
  <c r="M85" i="10"/>
  <c r="M86" i="10"/>
  <c r="M20" i="10"/>
  <c r="M87" i="10"/>
  <c r="M88" i="10"/>
  <c r="M89" i="10"/>
  <c r="M90" i="10"/>
  <c r="M91" i="10"/>
  <c r="M92" i="10"/>
  <c r="M93" i="10"/>
  <c r="M94" i="10"/>
  <c r="M95" i="10"/>
  <c r="M96" i="10"/>
  <c r="M122" i="10"/>
  <c r="M46" i="10"/>
  <c r="M97" i="10"/>
  <c r="M99" i="10"/>
  <c r="M98" i="10"/>
  <c r="M101" i="10"/>
  <c r="M100" i="10"/>
  <c r="M102" i="10"/>
  <c r="M105" i="10"/>
  <c r="M104" i="10"/>
  <c r="M106" i="10"/>
  <c r="M107" i="10"/>
  <c r="M137" i="10"/>
  <c r="M108" i="10"/>
  <c r="M110" i="10"/>
  <c r="M109" i="10"/>
  <c r="M112" i="10"/>
  <c r="M111" i="10"/>
  <c r="M114" i="10"/>
  <c r="M115" i="10"/>
  <c r="M116" i="10"/>
  <c r="M117" i="10"/>
  <c r="M118" i="10"/>
  <c r="M119" i="10"/>
  <c r="M120" i="10"/>
  <c r="M121" i="10"/>
  <c r="M123" i="10"/>
  <c r="M124" i="10"/>
  <c r="M125" i="10"/>
  <c r="M126" i="10"/>
  <c r="M128" i="10"/>
  <c r="M127" i="10"/>
  <c r="M129" i="10"/>
  <c r="M130" i="10"/>
  <c r="M131" i="10"/>
  <c r="M132" i="10"/>
  <c r="M133" i="10"/>
  <c r="M134" i="10"/>
  <c r="M135" i="10"/>
  <c r="M136" i="10"/>
  <c r="M138" i="10"/>
  <c r="M139" i="10"/>
  <c r="M140" i="10"/>
  <c r="M141" i="10"/>
  <c r="M142" i="10"/>
  <c r="M143" i="10"/>
  <c r="M144" i="10"/>
  <c r="M146" i="10"/>
  <c r="M147" i="10"/>
  <c r="M148" i="10"/>
  <c r="M150" i="10"/>
  <c r="M149" i="10"/>
  <c r="M151" i="10"/>
  <c r="M152" i="10"/>
  <c r="M2" i="10"/>
  <c r="N3" i="10"/>
  <c r="N4" i="10"/>
  <c r="N5" i="10"/>
  <c r="N6" i="10"/>
  <c r="N7" i="10"/>
  <c r="N9" i="10"/>
  <c r="N8" i="10"/>
  <c r="N11" i="10"/>
  <c r="N10" i="10"/>
  <c r="N12" i="10"/>
  <c r="N13" i="10"/>
  <c r="N14" i="10"/>
  <c r="N69" i="10"/>
  <c r="N16" i="10"/>
  <c r="N18" i="10"/>
  <c r="N17" i="10"/>
  <c r="N19" i="10"/>
  <c r="N21" i="10"/>
  <c r="N22" i="10"/>
  <c r="N23" i="10"/>
  <c r="N24" i="10"/>
  <c r="N25" i="10"/>
  <c r="N26" i="10"/>
  <c r="N28" i="10"/>
  <c r="N29" i="10"/>
  <c r="N30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7" i="10"/>
  <c r="N48" i="10"/>
  <c r="N49" i="10"/>
  <c r="N50" i="10"/>
  <c r="N51" i="10"/>
  <c r="N53" i="10"/>
  <c r="N54" i="10"/>
  <c r="N55" i="10"/>
  <c r="N56" i="10"/>
  <c r="N57" i="10"/>
  <c r="N58" i="10"/>
  <c r="N59" i="10"/>
  <c r="N61" i="10"/>
  <c r="N60" i="10"/>
  <c r="N62" i="10"/>
  <c r="N63" i="10"/>
  <c r="N64" i="10"/>
  <c r="N65" i="10"/>
  <c r="N67" i="10"/>
  <c r="N66" i="10"/>
  <c r="N68" i="10"/>
  <c r="N70" i="10"/>
  <c r="N71" i="10"/>
  <c r="N72" i="10"/>
  <c r="N73" i="10"/>
  <c r="N74" i="10"/>
  <c r="N75" i="10"/>
  <c r="N15" i="10"/>
  <c r="N76" i="10"/>
  <c r="N77" i="10"/>
  <c r="N103" i="10"/>
  <c r="N78" i="10"/>
  <c r="N80" i="10"/>
  <c r="N79" i="10"/>
  <c r="N81" i="10"/>
  <c r="N82" i="10"/>
  <c r="N83" i="10"/>
  <c r="N85" i="10"/>
  <c r="N86" i="10"/>
  <c r="N20" i="10"/>
  <c r="N87" i="10"/>
  <c r="N88" i="10"/>
  <c r="N89" i="10"/>
  <c r="N90" i="10"/>
  <c r="N91" i="10"/>
  <c r="N92" i="10"/>
  <c r="N93" i="10"/>
  <c r="N94" i="10"/>
  <c r="N95" i="10"/>
  <c r="N96" i="10"/>
  <c r="N122" i="10"/>
  <c r="N46" i="10"/>
  <c r="N97" i="10"/>
  <c r="N99" i="10"/>
  <c r="N98" i="10"/>
  <c r="N101" i="10"/>
  <c r="N100" i="10"/>
  <c r="N102" i="10"/>
  <c r="N105" i="10"/>
  <c r="N104" i="10"/>
  <c r="N106" i="10"/>
  <c r="N107" i="10"/>
  <c r="N137" i="10"/>
  <c r="N108" i="10"/>
  <c r="N110" i="10"/>
  <c r="N109" i="10"/>
  <c r="N112" i="10"/>
  <c r="N111" i="10"/>
  <c r="N114" i="10"/>
  <c r="N115" i="10"/>
  <c r="N116" i="10"/>
  <c r="N117" i="10"/>
  <c r="N118" i="10"/>
  <c r="N119" i="10"/>
  <c r="N120" i="10"/>
  <c r="N121" i="10"/>
  <c r="N123" i="10"/>
  <c r="N124" i="10"/>
  <c r="N125" i="10"/>
  <c r="N126" i="10"/>
  <c r="N128" i="10"/>
  <c r="N127" i="10"/>
  <c r="N129" i="10"/>
  <c r="N130" i="10"/>
  <c r="N131" i="10"/>
  <c r="N132" i="10"/>
  <c r="N133" i="10"/>
  <c r="N134" i="10"/>
  <c r="N135" i="10"/>
  <c r="N136" i="10"/>
  <c r="N138" i="10"/>
  <c r="N139" i="10"/>
  <c r="N140" i="10"/>
  <c r="N141" i="10"/>
  <c r="N142" i="10"/>
  <c r="N143" i="10"/>
  <c r="N144" i="10"/>
  <c r="N146" i="10"/>
  <c r="N147" i="10"/>
  <c r="N148" i="10"/>
  <c r="N150" i="10"/>
  <c r="N149" i="10"/>
  <c r="N151" i="10"/>
  <c r="N152" i="10"/>
  <c r="N2" i="10"/>
  <c r="Q2" i="1"/>
  <c r="Q3" i="1"/>
  <c r="Q4" i="1"/>
  <c r="Q6" i="1"/>
  <c r="Q7" i="1"/>
  <c r="Q8" i="1"/>
  <c r="Q9" i="1"/>
  <c r="Q11" i="1"/>
  <c r="Q97" i="1"/>
  <c r="Q13" i="1"/>
  <c r="Q14" i="1"/>
  <c r="Q10" i="1"/>
  <c r="Q16" i="1"/>
  <c r="Q50" i="1"/>
  <c r="Q17" i="1"/>
  <c r="Q18" i="1"/>
  <c r="Q19" i="1"/>
  <c r="Q20" i="1"/>
  <c r="Q21" i="1"/>
  <c r="Q22" i="1"/>
  <c r="Q24" i="1"/>
  <c r="Q25" i="1"/>
  <c r="Q27" i="1"/>
  <c r="Q28" i="1"/>
  <c r="Q29" i="1"/>
  <c r="Q30" i="1"/>
  <c r="Q31" i="1"/>
  <c r="Q32" i="1"/>
  <c r="Q33" i="1"/>
  <c r="Q34" i="1"/>
  <c r="Q35" i="1"/>
  <c r="Q36" i="1"/>
  <c r="Q37" i="1"/>
  <c r="Q39" i="1"/>
  <c r="Q133" i="1"/>
  <c r="Q41" i="1"/>
  <c r="Q42" i="1"/>
  <c r="Q119" i="1"/>
  <c r="Q43" i="1"/>
  <c r="Q136" i="1"/>
  <c r="Q45" i="1"/>
  <c r="Q46" i="1"/>
  <c r="Q47" i="1"/>
  <c r="Q48" i="1"/>
  <c r="Q49" i="1"/>
  <c r="Q51" i="1"/>
  <c r="Q52" i="1"/>
  <c r="Q53" i="1"/>
  <c r="Q15" i="1"/>
  <c r="Q54" i="1"/>
  <c r="Q134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138" i="1"/>
  <c r="Q76" i="1"/>
  <c r="Q77" i="1"/>
  <c r="Q78" i="1"/>
  <c r="Q79" i="1"/>
  <c r="Q80" i="1"/>
  <c r="Q81" i="1"/>
  <c r="Q82" i="1"/>
  <c r="Q83" i="1"/>
  <c r="Q108" i="1"/>
  <c r="Q84" i="1"/>
  <c r="Q85" i="1"/>
  <c r="Q86" i="1"/>
  <c r="Q87" i="1"/>
  <c r="Q88" i="1"/>
  <c r="Q89" i="1"/>
  <c r="Q90" i="1"/>
  <c r="Q91" i="1"/>
  <c r="Q92" i="1"/>
  <c r="Q93" i="1"/>
  <c r="Q94" i="1"/>
  <c r="Q96" i="1"/>
  <c r="Q98" i="1"/>
  <c r="Q99" i="1"/>
  <c r="Q100" i="1"/>
  <c r="Q101" i="1"/>
  <c r="Q102" i="1"/>
  <c r="Q103" i="1"/>
  <c r="Q131" i="1"/>
  <c r="Q104" i="1"/>
  <c r="Q105" i="1"/>
  <c r="Q106" i="1"/>
  <c r="Q107" i="1"/>
  <c r="Q126" i="1"/>
  <c r="Q109" i="1"/>
  <c r="Q110" i="1"/>
  <c r="Q111" i="1"/>
  <c r="Q112" i="1"/>
  <c r="Q113" i="1"/>
  <c r="Q114" i="1"/>
  <c r="Q115" i="1"/>
  <c r="Q116" i="1"/>
  <c r="Q117" i="1"/>
  <c r="Q120" i="1"/>
  <c r="Q121" i="1"/>
  <c r="Q95" i="1"/>
  <c r="Q123" i="1"/>
  <c r="Q125" i="1"/>
  <c r="Q44" i="1"/>
  <c r="Q127" i="1"/>
  <c r="Q128" i="1"/>
  <c r="Q132" i="1"/>
  <c r="Q129" i="1"/>
  <c r="Q130" i="1"/>
  <c r="Q40" i="1"/>
  <c r="Q124" i="1"/>
  <c r="Q122" i="1"/>
  <c r="Q55" i="1"/>
  <c r="Q12" i="1"/>
  <c r="Q5" i="1"/>
  <c r="Q140" i="1"/>
  <c r="Q118" i="1"/>
  <c r="Q141" i="1"/>
  <c r="Q137" i="1"/>
  <c r="Q23" i="1"/>
  <c r="Q142" i="1"/>
  <c r="Q144" i="1"/>
  <c r="Q145" i="1"/>
  <c r="Q135" i="1"/>
  <c r="W162" i="2"/>
  <c r="W165" i="2"/>
  <c r="W3" i="2"/>
  <c r="W4" i="2"/>
  <c r="W6" i="2"/>
  <c r="W159" i="2"/>
  <c r="W2" i="2"/>
  <c r="W9" i="2"/>
  <c r="W10" i="2"/>
  <c r="W11" i="2"/>
  <c r="W13" i="2"/>
  <c r="W14" i="2"/>
  <c r="W158" i="2"/>
  <c r="W17" i="2"/>
  <c r="W18" i="2"/>
  <c r="W23" i="2"/>
  <c r="W24" i="2"/>
  <c r="W25" i="2"/>
  <c r="W26" i="2"/>
  <c r="W27" i="2"/>
  <c r="W28" i="2"/>
  <c r="W29" i="2"/>
  <c r="W30" i="2"/>
  <c r="W161" i="2"/>
  <c r="W32" i="2"/>
  <c r="W33" i="2"/>
  <c r="W35" i="2"/>
  <c r="W36" i="2"/>
  <c r="W8" i="2"/>
  <c r="W38" i="2"/>
  <c r="W39" i="2"/>
  <c r="W40" i="2"/>
  <c r="W41" i="2"/>
  <c r="W42" i="2"/>
  <c r="W43" i="2"/>
  <c r="W44" i="2"/>
  <c r="W45" i="2"/>
  <c r="W46" i="2"/>
  <c r="W47" i="2"/>
  <c r="W48" i="2"/>
  <c r="W49" i="2"/>
  <c r="W51" i="2"/>
  <c r="W52" i="2"/>
  <c r="W166" i="2"/>
  <c r="W54" i="2"/>
  <c r="W55" i="2"/>
  <c r="W56" i="2"/>
  <c r="W16" i="2"/>
  <c r="W15" i="2"/>
  <c r="W57" i="2"/>
  <c r="W58" i="2"/>
  <c r="W59" i="2"/>
  <c r="W60" i="2"/>
  <c r="W61" i="2"/>
  <c r="W62" i="2"/>
  <c r="W63" i="2"/>
  <c r="W64" i="2"/>
  <c r="W65" i="2"/>
  <c r="W66" i="2"/>
  <c r="W34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160" i="2"/>
  <c r="W82" i="2"/>
  <c r="W83" i="2"/>
  <c r="W84" i="2"/>
  <c r="W85" i="2"/>
  <c r="W86" i="2"/>
  <c r="W87" i="2"/>
  <c r="W88" i="2"/>
  <c r="W89" i="2"/>
  <c r="W164" i="2"/>
  <c r="W90" i="2"/>
  <c r="W91" i="2"/>
  <c r="W92" i="2"/>
  <c r="W93" i="2"/>
  <c r="W94" i="2"/>
  <c r="W95" i="2"/>
  <c r="W96" i="2"/>
  <c r="W97" i="2"/>
  <c r="W98" i="2"/>
  <c r="W99" i="2"/>
  <c r="W12" i="2"/>
  <c r="W100" i="2"/>
  <c r="W50" i="2"/>
  <c r="W102" i="2"/>
  <c r="W103" i="2"/>
  <c r="W104" i="2"/>
  <c r="W105" i="2"/>
  <c r="W106" i="2"/>
  <c r="W107" i="2"/>
  <c r="W108" i="2"/>
  <c r="W109" i="2"/>
  <c r="W110" i="2"/>
  <c r="W111" i="2"/>
  <c r="W112" i="2"/>
  <c r="W114" i="2"/>
  <c r="W115" i="2"/>
  <c r="W116" i="2"/>
  <c r="W117" i="2"/>
  <c r="W118" i="2"/>
  <c r="W119" i="2"/>
  <c r="W120" i="2"/>
  <c r="W121" i="2"/>
  <c r="W157" i="2"/>
  <c r="W122" i="2"/>
  <c r="W123" i="2"/>
  <c r="W124" i="2"/>
  <c r="W125" i="2"/>
  <c r="W37" i="2"/>
  <c r="W127" i="2"/>
  <c r="W128" i="2"/>
  <c r="W129" i="2"/>
  <c r="W130" i="2"/>
  <c r="W131" i="2"/>
  <c r="W132" i="2"/>
  <c r="W133" i="2"/>
  <c r="W134" i="2"/>
  <c r="W155" i="2"/>
  <c r="W135" i="2"/>
  <c r="W136" i="2"/>
  <c r="W137" i="2"/>
  <c r="W138" i="2"/>
  <c r="W139" i="2"/>
  <c r="W126" i="2"/>
  <c r="W140" i="2"/>
  <c r="W113" i="2"/>
  <c r="W143" i="2"/>
  <c r="W146" i="2"/>
  <c r="W147" i="2"/>
  <c r="W148" i="2"/>
  <c r="W149" i="2"/>
  <c r="W150" i="2"/>
  <c r="W151" i="2"/>
  <c r="W152" i="2"/>
  <c r="W153" i="2"/>
  <c r="W19" i="2"/>
  <c r="W20" i="2"/>
  <c r="W21" i="2"/>
  <c r="W22" i="2"/>
  <c r="W156" i="2"/>
  <c r="W154" i="2"/>
  <c r="W167" i="2"/>
  <c r="W145" i="2"/>
  <c r="W168" i="2"/>
  <c r="W5" i="2"/>
  <c r="W31" i="2"/>
  <c r="W101" i="2"/>
  <c r="W141" i="2"/>
  <c r="W163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<sst xmlns="http://schemas.openxmlformats.org/spreadsheetml/2006/main" count="12632" uniqueCount="3012">
  <si>
    <t>INVENTARIO GENERAL TI</t>
  </si>
  <si>
    <t>CELULARES</t>
  </si>
  <si>
    <t>LAPTOPS</t>
  </si>
  <si>
    <t>IMPRESORAS</t>
  </si>
  <si>
    <t>MONITORES</t>
  </si>
  <si>
    <t>MODEMS</t>
  </si>
  <si>
    <t>TRFS</t>
  </si>
  <si>
    <t>CANTIDAD DE EQUIPOS ACTUALMENTE</t>
  </si>
  <si>
    <t>CANTIDAD DE EQUIPOS LIBRES</t>
  </si>
  <si>
    <t>USUARIO</t>
  </si>
  <si>
    <t>(Varios elementos)</t>
  </si>
  <si>
    <t>SIN USUARIO</t>
  </si>
  <si>
    <t>Etiquetas de fila</t>
  </si>
  <si>
    <t>Cuenta de USUARIO</t>
  </si>
  <si>
    <t>CELULAR</t>
  </si>
  <si>
    <t>LINEA</t>
  </si>
  <si>
    <t>Total general</t>
  </si>
  <si>
    <t>CANTIDAD DE EQUIPOS POR ÁREAS</t>
  </si>
  <si>
    <t>CANTIDAD DE EQUIPOS ANTIGUOS</t>
  </si>
  <si>
    <t>TIEMPO DE USO</t>
  </si>
  <si>
    <t>3 años y 0 meses</t>
  </si>
  <si>
    <t>ADMINISTRATIVO</t>
  </si>
  <si>
    <t>B2B</t>
  </si>
  <si>
    <t>BI</t>
  </si>
  <si>
    <t>CALL CENTER</t>
  </si>
  <si>
    <t>CENTRO DE DISTRIBUCIÓN</t>
  </si>
  <si>
    <t>CATALOGO MANAGER</t>
  </si>
  <si>
    <t>COMERCIAL</t>
  </si>
  <si>
    <t>CONTABILIDAD</t>
  </si>
  <si>
    <t>COBRANZAS</t>
  </si>
  <si>
    <t>COMEX</t>
  </si>
  <si>
    <t>COMPRAS</t>
  </si>
  <si>
    <t>CANTIDAD DE EQUIPOS VIGENTES</t>
  </si>
  <si>
    <t>GC</t>
  </si>
  <si>
    <t>GG</t>
  </si>
  <si>
    <t>GVDN</t>
  </si>
  <si>
    <t>MARKETING</t>
  </si>
  <si>
    <t>PM</t>
  </si>
  <si>
    <t>PRICING</t>
  </si>
  <si>
    <t>PRODUCTOS</t>
  </si>
  <si>
    <t>RRHH</t>
  </si>
  <si>
    <t>TESORERIA</t>
  </si>
  <si>
    <t>TI</t>
  </si>
  <si>
    <t>CANTIDAD DE EQUIPOS POR BAJAS</t>
  </si>
  <si>
    <t>BAJAS</t>
  </si>
  <si>
    <t>DAÑADO</t>
  </si>
  <si>
    <t>PERDIDO</t>
  </si>
  <si>
    <t>ROBADO</t>
  </si>
  <si>
    <t>USUARIO ASIGNADO</t>
  </si>
  <si>
    <t>Cuenta de USUARIO ASIGNADO</t>
  </si>
  <si>
    <t>DESKTOP</t>
  </si>
  <si>
    <t>LAPTOP</t>
  </si>
  <si>
    <t>GAF</t>
  </si>
  <si>
    <t>BAJA</t>
  </si>
  <si>
    <t>CANTIDAD DE EQUIPOS</t>
  </si>
  <si>
    <t>CANTIDAD DE EQUIPOS POR SEDE</t>
  </si>
  <si>
    <t>ESTABILIZADOR</t>
  </si>
  <si>
    <t>IMPRESORA</t>
  </si>
  <si>
    <t>SAN ISIDRO</t>
  </si>
  <si>
    <t>SAN ISIDRO (A LADO DE PILAR ROMERO)</t>
  </si>
  <si>
    <t>SAN ISIDRO (A LADO DE DENNIZ GONIA)</t>
  </si>
  <si>
    <t>CANTIDAD DE EQUIPOS POR MARCA</t>
  </si>
  <si>
    <t>DP</t>
  </si>
  <si>
    <t>EPSON</t>
  </si>
  <si>
    <t>HP</t>
  </si>
  <si>
    <t>RICOH</t>
  </si>
  <si>
    <t>ZEBRA</t>
  </si>
  <si>
    <t>CANTIDAD DE MONITORES</t>
  </si>
  <si>
    <t>CANTIDAD DE MONITORES POR ÁREAS</t>
  </si>
  <si>
    <t>MONITOR</t>
  </si>
  <si>
    <t>TESORERÍA</t>
  </si>
  <si>
    <t>MODEM</t>
  </si>
  <si>
    <t>ROUTER</t>
  </si>
  <si>
    <t>CANTIDAD DE EQUIPOS POR ESTADOS</t>
  </si>
  <si>
    <t>CANTIDAD DE EQUIPOS POR MODELOS</t>
  </si>
  <si>
    <t>Cuenta de MODELO</t>
  </si>
  <si>
    <t>Cuenta de ESTADO</t>
  </si>
  <si>
    <t>MC32</t>
  </si>
  <si>
    <t>DEPRECIADO</t>
  </si>
  <si>
    <t>MC33</t>
  </si>
  <si>
    <t>OK</t>
  </si>
  <si>
    <t>MC34</t>
  </si>
  <si>
    <t>N°</t>
  </si>
  <si>
    <t>DNI - CE</t>
  </si>
  <si>
    <t>NOMBRES Y APELLIDOS</t>
  </si>
  <si>
    <t>CARGO</t>
  </si>
  <si>
    <t>ESTADO</t>
  </si>
  <si>
    <t>ÁREA</t>
  </si>
  <si>
    <t>SUPERVISOR</t>
  </si>
  <si>
    <t>PLAN COMERCIAL</t>
  </si>
  <si>
    <t>CORREOS OUTLOOK</t>
  </si>
  <si>
    <t>CORREOS GMAIL</t>
  </si>
  <si>
    <t>CONTRASEÑAS GMAIL</t>
  </si>
  <si>
    <t>NOMBRES Y APELLIDOS (min)</t>
  </si>
  <si>
    <t>CARGO (min)</t>
  </si>
  <si>
    <t>ALEJANDRA QUEZADA</t>
  </si>
  <si>
    <t>ALEJANDRA DANIELA QUEZADA NORIEGA</t>
  </si>
  <si>
    <t>EJECUTIVO DE VENTAS DE CALL CENTER</t>
  </si>
  <si>
    <t>INACTIVO</t>
  </si>
  <si>
    <t>ENRIQUE HIDALGO</t>
  </si>
  <si>
    <t>TAMBO</t>
  </si>
  <si>
    <t>aquezada@refax.pe</t>
  </si>
  <si>
    <t>callcenter9.refax@gmail.com</t>
  </si>
  <si>
    <t>R3fax2025$</t>
  </si>
  <si>
    <t>ALEXIS CHALLCO</t>
  </si>
  <si>
    <t>ALEXIS RENZO CHALLCO VELIZ</t>
  </si>
  <si>
    <t>ENCARGADO OPERATIVO</t>
  </si>
  <si>
    <t>ACTIVO</t>
  </si>
  <si>
    <t>-</t>
  </si>
  <si>
    <t>supdistribucion1@refax.pe</t>
  </si>
  <si>
    <t>achalco.refax@gmail.com</t>
  </si>
  <si>
    <t>ALICIA LLUEN</t>
  </si>
  <si>
    <t>ALICIA FRANCHESCA LLUEN BURGA</t>
  </si>
  <si>
    <t>SUBCONTADORA</t>
  </si>
  <si>
    <t>alluen@refax.pe</t>
  </si>
  <si>
    <t>alluen.refax@gmail.com</t>
  </si>
  <si>
    <t>R3fax2024$</t>
  </si>
  <si>
    <t>ALISSA CUBAS</t>
  </si>
  <si>
    <t>ALISSA YASMINE CUBAS TORO</t>
  </si>
  <si>
    <t>ASISTENTE DE CONTABILIDAD</t>
  </si>
  <si>
    <t>acubas@refax.pe</t>
  </si>
  <si>
    <t>acubas.refax@gmail.com</t>
  </si>
  <si>
    <t>R3fax2026$</t>
  </si>
  <si>
    <t>ANA MALCA</t>
  </si>
  <si>
    <t>ANA MARIXA MALCA MACHUCA</t>
  </si>
  <si>
    <t>GENERADOR DE NEGOCIOS</t>
  </si>
  <si>
    <t>EDGAR ALBARRAN</t>
  </si>
  <si>
    <t>amalca@refax.pe</t>
  </si>
  <si>
    <t>amalca.refax@gmail.com</t>
  </si>
  <si>
    <t>ANAIS ALBURQUEQUE</t>
  </si>
  <si>
    <t>ANAIS SELENE ALBURQUEQUE ARMAS</t>
  </si>
  <si>
    <t>JEFE DE PRICING</t>
  </si>
  <si>
    <t>aalburqueque@refax.pe</t>
  </si>
  <si>
    <t>aalburqueque.refax@gmail.com</t>
  </si>
  <si>
    <t>R3fax2022$</t>
  </si>
  <si>
    <t>ANDREA RUIZ</t>
  </si>
  <si>
    <t>ANDREA MILAGROS RUIZ MARAVI</t>
  </si>
  <si>
    <t>OPERADOR DE SISTEMAS DE PICKING</t>
  </si>
  <si>
    <t>cdauditoria@refax.pe</t>
  </si>
  <si>
    <t>ANDREA YATACO</t>
  </si>
  <si>
    <t>ANDREA DENIS YATACO SALDAÑA</t>
  </si>
  <si>
    <t>ANALISTA DE CREDITOS Y COBRANZAS</t>
  </si>
  <si>
    <t>CRÉDITOS Y COBRANZAS</t>
  </si>
  <si>
    <t>ayataco@refax.pe</t>
  </si>
  <si>
    <t>ANDRES ARISPE</t>
  </si>
  <si>
    <t>ANDRES FERNANDO ARISPE OVIEDO</t>
  </si>
  <si>
    <t>GERENTE DE ADMINISTRACIÓN Y FINANZAS</t>
  </si>
  <si>
    <t>aarispe@refax.pe</t>
  </si>
  <si>
    <t>aarispe.refax@gmail.com</t>
  </si>
  <si>
    <t>ANDRES CACHIMA</t>
  </si>
  <si>
    <t>ANDRES CELESTINO CACHIMA RAMIREZ</t>
  </si>
  <si>
    <t>EJECUTIVO B2B</t>
  </si>
  <si>
    <t>JAZMIN MOSQUERA</t>
  </si>
  <si>
    <t>acachima@refax.pe</t>
  </si>
  <si>
    <t>acachima.refax@gmail.com</t>
  </si>
  <si>
    <t>ANGELA SOTERO</t>
  </si>
  <si>
    <t>ANGELA SOTERO TANTALEAN</t>
  </si>
  <si>
    <t>SUB GERENTE CORPORATIVO DE PERSONAS</t>
  </si>
  <si>
    <t>asotero@refax.pe</t>
  </si>
  <si>
    <t>asotero.refax@gmail.com</t>
  </si>
  <si>
    <t>07456019</t>
  </si>
  <si>
    <t>ANSELMO SORIA</t>
  </si>
  <si>
    <t>ANSELMO FELIX SORIA GONZALES</t>
  </si>
  <si>
    <t>asoria@refax.pe</t>
  </si>
  <si>
    <t>asoria.refax@gmail.com</t>
  </si>
  <si>
    <t>ANTHONY ACEVEDO</t>
  </si>
  <si>
    <t>ANTHONY ACEVEDO MEDINA</t>
  </si>
  <si>
    <t>OPERARIO DE ALMACEN (ESCANEO DE DOCUMENTOS)</t>
  </si>
  <si>
    <t>facturador_cd@refax.pe</t>
  </si>
  <si>
    <t>facturadorcd.refax@gmail.com</t>
  </si>
  <si>
    <t>ANTONELLA VARGAS</t>
  </si>
  <si>
    <t>JOHANNA ANTONELLA VARGAS FLORES</t>
  </si>
  <si>
    <t>ASISTENTE DE TI</t>
  </si>
  <si>
    <t>avargas@refax.pe</t>
  </si>
  <si>
    <t>avargas.refax@gmail.com</t>
  </si>
  <si>
    <t>CARLOS AGUIRRE</t>
  </si>
  <si>
    <t>CARLOS EMILIO AGUIRRE NUÑEZ</t>
  </si>
  <si>
    <t>CARLOS BARRANTES</t>
  </si>
  <si>
    <t>caguirre@refax.pe</t>
  </si>
  <si>
    <t>caguirre.refax@gmail.com</t>
  </si>
  <si>
    <t>CARLOS XAVIER BARRANTES RODRIGUEZ</t>
  </si>
  <si>
    <t>SUPERVISOR DE VENTAS</t>
  </si>
  <si>
    <t>MANUEL ZAVALETA</t>
  </si>
  <si>
    <t>cbarrantes@refax.pe</t>
  </si>
  <si>
    <t>cbarrantes.refax@gmail.com</t>
  </si>
  <si>
    <t>CARLOS SANDOVAL</t>
  </si>
  <si>
    <t>CARLOS ENRIQUE SANDOVAL GUILLERMO</t>
  </si>
  <si>
    <t>csandoval@refax.pe</t>
  </si>
  <si>
    <t>csandoval.refax@gmail.com</t>
  </si>
  <si>
    <t>CAROLINA PHILIPPS</t>
  </si>
  <si>
    <t>CAROLINA CINTHIA PHILIPPS BUENO</t>
  </si>
  <si>
    <t>cphilipps@refax.pe</t>
  </si>
  <si>
    <t>cphilipps.refax@gmail.com</t>
  </si>
  <si>
    <t>CHRISTIAN BARDALES</t>
  </si>
  <si>
    <t>JUAN CHRISTIAN BARDALES LOPEZ</t>
  </si>
  <si>
    <t>OPERARIO DE REVISION TECNICA</t>
  </si>
  <si>
    <t>rtbodega.refax@gmail.com</t>
  </si>
  <si>
    <t>CHRISTIAN RAMIREZ</t>
  </si>
  <si>
    <t>CHRISTIAN SEGUNDO RAMIREZ RAMOS</t>
  </si>
  <si>
    <t>SUB GERENTE DE TI</t>
  </si>
  <si>
    <t>cramirez@refax.pe</t>
  </si>
  <si>
    <t>CLAUDIA ABREGU</t>
  </si>
  <si>
    <t>CLAUDIA ALEJANDRA ABREGU VASQUEZ</t>
  </si>
  <si>
    <t>ANALISTA DE TALENTO HUMANO</t>
  </si>
  <si>
    <t>cabregu@refax.pe</t>
  </si>
  <si>
    <t>cabregu.refax@gmail.com</t>
  </si>
  <si>
    <t>CLAUDIA CARRASCO</t>
  </si>
  <si>
    <t>CLAUDIA STEFANY CARRASCO CCASA</t>
  </si>
  <si>
    <t>ccarrasco@refax.pe</t>
  </si>
  <si>
    <t>ccarrasco.refax@gmail.com</t>
  </si>
  <si>
    <t>CRISTHIAN AREVALO</t>
  </si>
  <si>
    <t>CRISTHIAN DANIEL AREVALO GARRIDO</t>
  </si>
  <si>
    <t>JEFE DE GESTION COMERCIAL</t>
  </si>
  <si>
    <t>carevalo@refax.pe</t>
  </si>
  <si>
    <t>carevalo.refax@gmail.com</t>
  </si>
  <si>
    <t>CRISTIAN RUIZ</t>
  </si>
  <si>
    <t>CRISTIAN EDUARDO RUIZ RAMIREZ</t>
  </si>
  <si>
    <t>WALTER RUIZ</t>
  </si>
  <si>
    <t>HUASCARAN</t>
  </si>
  <si>
    <t>cruiz@refax.pe</t>
  </si>
  <si>
    <t>cruiz.refax@gmail.com</t>
  </si>
  <si>
    <t>CRISTINA DIAZ</t>
  </si>
  <si>
    <t>CRISTINA ELIZABETH DIAZ PONCE</t>
  </si>
  <si>
    <t>cdiaz@refax.pe</t>
  </si>
  <si>
    <t>DALLANA ESPINOZA</t>
  </si>
  <si>
    <t>DALLANA NICOLE ESPINOZA CALLE</t>
  </si>
  <si>
    <t>TRABAJADORA SOCIAL</t>
  </si>
  <si>
    <t>GESTIÓN DE PERSONAS</t>
  </si>
  <si>
    <t>despinoza@refax.pe</t>
  </si>
  <si>
    <t>despinoza.refax@gmail.com</t>
  </si>
  <si>
    <t>DANARI DE LA PUENTE</t>
  </si>
  <si>
    <t>DANARI ZULEMA DE LA PUENTE TORRES</t>
  </si>
  <si>
    <t>SAMUEL SOTO</t>
  </si>
  <si>
    <t>ddelapuente@refax.pe</t>
  </si>
  <si>
    <t>ddelapuente.refax@gmail.com</t>
  </si>
  <si>
    <t>DANIEL ROJAS</t>
  </si>
  <si>
    <t>DANIEL ROJAS PIZANGO</t>
  </si>
  <si>
    <t>drojas@refax.pe</t>
  </si>
  <si>
    <t>drojas.refax@gmail.com</t>
  </si>
  <si>
    <t>DANNEL SERQUEN</t>
  </si>
  <si>
    <t>DANNEL ROBERTO SERQUEN PASTOR</t>
  </si>
  <si>
    <t>dserquen@refax.pe</t>
  </si>
  <si>
    <t>dserquen.refax@gmail.com</t>
  </si>
  <si>
    <t>DARLINEE CAMACHO</t>
  </si>
  <si>
    <t>DARLINEE DEL ROSARIO CAMACHO APONTE</t>
  </si>
  <si>
    <t>ANALISTA DE OPERACIONES Y MEJORA CONTINUA</t>
  </si>
  <si>
    <t>dcamacho@refax.pe</t>
  </si>
  <si>
    <t>DENNIS BERRU</t>
  </si>
  <si>
    <t>DENNIS OMAR BERRU GARCIA</t>
  </si>
  <si>
    <t>OPERARIO DE ALMACEN (SISTEMA DE PICKING)</t>
  </si>
  <si>
    <t>DENNIZ GONIA</t>
  </si>
  <si>
    <t>DENNIZ MERCEDES GONIA CURIOSO</t>
  </si>
  <si>
    <t>dgonia@refax.pe</t>
  </si>
  <si>
    <t>DIANA BROGGI</t>
  </si>
  <si>
    <t>DIANA BROGGI MELLADO</t>
  </si>
  <si>
    <t>ANALISTA DE MARKETING</t>
  </si>
  <si>
    <t>dbroggi@refax.pe</t>
  </si>
  <si>
    <t>dbroggi.refax@gmail.com</t>
  </si>
  <si>
    <t>DIANA HERNANDEZ</t>
  </si>
  <si>
    <t>DIANA LUCIA HERNANDEZ BACON</t>
  </si>
  <si>
    <t>SUBGERENTE DE COMPRAS Y DESARROLLO</t>
  </si>
  <si>
    <t>dhernandez@refax.pe</t>
  </si>
  <si>
    <t>DIEGO ALCA</t>
  </si>
  <si>
    <t>DIEGO ALONSO ALCA JERI</t>
  </si>
  <si>
    <t>PRODUCT MANAGER TEAM LEADER</t>
  </si>
  <si>
    <t>PMS</t>
  </si>
  <si>
    <t>dalca@refax.pe</t>
  </si>
  <si>
    <t>dalca.refax@gmail.com</t>
  </si>
  <si>
    <t>DIONISIA PARDO</t>
  </si>
  <si>
    <t>DIONISIA ALO PARDO ASTOCAZA DE ALARCON</t>
  </si>
  <si>
    <t>dpardo@refax.pe</t>
  </si>
  <si>
    <t>dpardo.refax@gmail.com</t>
  </si>
  <si>
    <t>EDGAR ALEJANDRO ALBARRAN VILLASMIL</t>
  </si>
  <si>
    <t>ealbarran@refax.pe</t>
  </si>
  <si>
    <t>ealbarran.refax@gmail.com</t>
  </si>
  <si>
    <t>EDWIN ACHATA</t>
  </si>
  <si>
    <t>EDWIN ALBERTO ACHATA ROQUE</t>
  </si>
  <si>
    <t>ENRIQUE ESTRELLA</t>
  </si>
  <si>
    <t>eachata@refax.pe</t>
  </si>
  <si>
    <t>eachata.refax@gmail.com</t>
  </si>
  <si>
    <t>ELIANA MARTINEZ</t>
  </si>
  <si>
    <t>ELIANA DEL CARMEN MARTINEZ GONZALES</t>
  </si>
  <si>
    <t>emartinez@refax.pe</t>
  </si>
  <si>
    <t>callcenter5.refax@gmail.com</t>
  </si>
  <si>
    <t>EMILIA TIZA</t>
  </si>
  <si>
    <t>EMILIA GENY TIZA COTRINA</t>
  </si>
  <si>
    <t>ASISTENTE B2B</t>
  </si>
  <si>
    <t>etiza@refax.pe</t>
  </si>
  <si>
    <t>etiza.refax@gmail.com</t>
  </si>
  <si>
    <t>EMILY APAZA</t>
  </si>
  <si>
    <t>EMILY IRENE APAZA CCORIMANYA</t>
  </si>
  <si>
    <t>eapaza@refax.pe</t>
  </si>
  <si>
    <t>eapaza.refax@gmail.com</t>
  </si>
  <si>
    <t>ENRIQUE MARTIN HIDALGO CADILLO</t>
  </si>
  <si>
    <t>JEFE DE VENTAS CANAL CALL CENTER</t>
  </si>
  <si>
    <t>ehidalgo@refax.pe</t>
  </si>
  <si>
    <t>ehidalgo.refax@gmail.com</t>
  </si>
  <si>
    <t>ERICK BARRANZUELA</t>
  </si>
  <si>
    <t>ERICK ALONSO BARRANZUELA LOPEZ</t>
  </si>
  <si>
    <t>OPERARIO DE ALMACEN</t>
  </si>
  <si>
    <t>ESTHER AGUILAR</t>
  </si>
  <si>
    <t>ESTHER AGUILAR OCAS</t>
  </si>
  <si>
    <t>GENERADOR DE NEGOCIOS - CAJAMARCA</t>
  </si>
  <si>
    <t>eaguilar@refax.pe</t>
  </si>
  <si>
    <t>eaguilar.refax@gmail.com</t>
  </si>
  <si>
    <t>FABIANA APARICIO</t>
  </si>
  <si>
    <t>LIDIA FABIANA APARICIO SALAZAR</t>
  </si>
  <si>
    <t>LIDER DE PICKING Y PACKING</t>
  </si>
  <si>
    <t>faparicio@refax.pe</t>
  </si>
  <si>
    <t>FABIOLA LAURENTE</t>
  </si>
  <si>
    <t>FABIOLA NICOLE LAURENTE HUAMAN</t>
  </si>
  <si>
    <t>ANALISTA DE NOMINA Y ADM DE PERSONAL</t>
  </si>
  <si>
    <t>flaurente@refax.pe</t>
  </si>
  <si>
    <t>flaurente.refax@gmail.com</t>
  </si>
  <si>
    <t>FELIX YACTAYO</t>
  </si>
  <si>
    <t>FELIX OSWALDO YACTAYO CUZCANO</t>
  </si>
  <si>
    <t>fyactayo@refax.pe</t>
  </si>
  <si>
    <t>fyactayo.refax@gmail.com</t>
  </si>
  <si>
    <t>FERNANDO SALAZAR</t>
  </si>
  <si>
    <t>FERNANDO ANTONIO SALAZAR FARFAN</t>
  </si>
  <si>
    <t>FRANCISCO OTERO</t>
  </si>
  <si>
    <t>FRANCISCO DE PAULA OTERO RAMIREZ</t>
  </si>
  <si>
    <t>GERENTE GENERAL</t>
  </si>
  <si>
    <t>fotero@refax.pe</t>
  </si>
  <si>
    <t>GERMAN AÑAZCO</t>
  </si>
  <si>
    <t>GERMAN ALONSO AÑAZCO DELGADO</t>
  </si>
  <si>
    <t>KEY ACCOUNT MANAGER</t>
  </si>
  <si>
    <t>ganazco.refax@gmail.com</t>
  </si>
  <si>
    <t>GERSON APOLINARIO</t>
  </si>
  <si>
    <t>GERSON GREGORIO APOLINARIO COCHACHI</t>
  </si>
  <si>
    <t>LIDER DE REABASTECIMIENTO</t>
  </si>
  <si>
    <t>gapolinario@refax.pe</t>
  </si>
  <si>
    <t>GHEREL TOCAS</t>
  </si>
  <si>
    <t>GHEREL LUIS TOCAS MEDINA</t>
  </si>
  <si>
    <t>gtocas@refax.pe</t>
  </si>
  <si>
    <t>gtocas.refax@gmail.com</t>
  </si>
  <si>
    <t>GIANELLA SOLLER</t>
  </si>
  <si>
    <t>GIANELLA ANTHUANET SOLLER LAIZA</t>
  </si>
  <si>
    <t>ANALISTA DE TESORERÍA</t>
  </si>
  <si>
    <t>gsoller@refax.pe</t>
  </si>
  <si>
    <t>gsoller.refax@gmail.com</t>
  </si>
  <si>
    <t>GUILLERMO MALCA</t>
  </si>
  <si>
    <t>GUILLERMO EDUARDO MALCA CANCHARI</t>
  </si>
  <si>
    <t>gmalca@refax.pe</t>
  </si>
  <si>
    <t>gmalca.refax@gmail.com</t>
  </si>
  <si>
    <t>GUINA BUSTOS</t>
  </si>
  <si>
    <t>GUINA BUSTOS BUENO</t>
  </si>
  <si>
    <t>JEFE DE TESORERIA</t>
  </si>
  <si>
    <t>gbustos@refax.pe</t>
  </si>
  <si>
    <t>gbustos.refax@gmail.com</t>
  </si>
  <si>
    <t>GUSTAVO NAVA</t>
  </si>
  <si>
    <t>GUSTAVO ADOLFO NAVA ZAMORA</t>
  </si>
  <si>
    <t>AUDITOR INTERNO</t>
  </si>
  <si>
    <t>ADMINISTRACIÓN</t>
  </si>
  <si>
    <t>gnava@refax.pe</t>
  </si>
  <si>
    <t>gnava.refax@gmail.com</t>
  </si>
  <si>
    <t>HECTOR DEL CASTILLO</t>
  </si>
  <si>
    <t>HECTOR EDUARDO DEL CASTILLO VELASCO</t>
  </si>
  <si>
    <t>GESTOR DE COBRANZAS</t>
  </si>
  <si>
    <t>hcastillo@refax.pe</t>
  </si>
  <si>
    <t>hdelcastillo.refax@gmail.com</t>
  </si>
  <si>
    <t>HECTOR JUAREZ</t>
  </si>
  <si>
    <t>HECTOR MANUEL JUAREZ CONCHA</t>
  </si>
  <si>
    <t>hejuarez@refax.pe</t>
  </si>
  <si>
    <t>hejuarez.refax@gmail.com</t>
  </si>
  <si>
    <t>HUGO JUAREZ</t>
  </si>
  <si>
    <t>HUGO SANTIAGO JUAREZ CHINCHAY</t>
  </si>
  <si>
    <t>COORDINADOR DE PRODUCTOS</t>
  </si>
  <si>
    <t>hjuarez@refax.pe</t>
  </si>
  <si>
    <t>hjuarez.refax@gmail.com</t>
  </si>
  <si>
    <t>HUGO VILLAFUERTE</t>
  </si>
  <si>
    <t>HUGO ANDRES ALDO VILLAFUERTE REGUERA</t>
  </si>
  <si>
    <t>JEFE DE MARKETING</t>
  </si>
  <si>
    <t>hvillafuerte@refax.pe</t>
  </si>
  <si>
    <t>hvillafuerte.refax@gmail.com</t>
  </si>
  <si>
    <t>INGRID HERRERA</t>
  </si>
  <si>
    <t>INGRID ESTRELLA HERRERA ALVAREZ</t>
  </si>
  <si>
    <t>EJECUTIVO B2B CALL CENTER</t>
  </si>
  <si>
    <t>iherrera@refax.pe</t>
  </si>
  <si>
    <t>iherrera.refax@gmail.com</t>
  </si>
  <si>
    <t>ISIDRO VALVERDE</t>
  </si>
  <si>
    <t>ISIDRO VALVERDE JUAREZ</t>
  </si>
  <si>
    <t>ivalverde@refax.pe</t>
  </si>
  <si>
    <t>ivalverde.refax@gmail.com</t>
  </si>
  <si>
    <t>IVAN GUTIERREZ</t>
  </si>
  <si>
    <t>IVAN DAVID GUTIERREZ HUARANCCA</t>
  </si>
  <si>
    <t>igutierrez@refax.pe</t>
  </si>
  <si>
    <t>igutierrez.refax@gmail.com</t>
  </si>
  <si>
    <t>JACQUELYN ESTRADA</t>
  </si>
  <si>
    <t>JACQUELYN ESTRADA TOVAR</t>
  </si>
  <si>
    <t>jestrada@refax.pe</t>
  </si>
  <si>
    <t>jestrada.refax@gmail.com</t>
  </si>
  <si>
    <t>JAVIER MOGOLLON</t>
  </si>
  <si>
    <t>JAVIER MOGOLLON RAMIREZ</t>
  </si>
  <si>
    <t>jmogollon@refax.pe</t>
  </si>
  <si>
    <t>jmogollon.refax@gmail.com</t>
  </si>
  <si>
    <t>JAVIER SUEMATZU</t>
  </si>
  <si>
    <t>JAVIER CARLOS SUEMATZU YAGI</t>
  </si>
  <si>
    <t>ANALISTA DE TI</t>
  </si>
  <si>
    <t>jsuematzu@refax.pe</t>
  </si>
  <si>
    <t>jsuematzu.refax@gmail.com</t>
  </si>
  <si>
    <t>JAVIER ZEGARRA</t>
  </si>
  <si>
    <t>JAVIER ROBERTO ZEGARRA GARIBALDI</t>
  </si>
  <si>
    <t>jzegarra@refax.pe</t>
  </si>
  <si>
    <t>jzegarra.refax@gmail.com</t>
  </si>
  <si>
    <t>BEERCELY JAZMIN DEL R MOSQUERA SALAZAR</t>
  </si>
  <si>
    <t>JEFE DE CANAL WEB</t>
  </si>
  <si>
    <t>jmosquera@refax.pe</t>
  </si>
  <si>
    <t>bmosquera.refax@gmail.com</t>
  </si>
  <si>
    <t>JEAN VILLAGARAY</t>
  </si>
  <si>
    <t>JEAN PIERRE VILLAGARAY MONTALDO</t>
  </si>
  <si>
    <t>SUPERVISOR DE CREDITOS Y COBRANZAS</t>
  </si>
  <si>
    <t>jvillagaray@refax.pe</t>
  </si>
  <si>
    <t>jvillagaray.refax@gmail.com</t>
  </si>
  <si>
    <t>JEIMY URIARTE</t>
  </si>
  <si>
    <t>JEIMY ENRIQUE URIARTE PALACIOS</t>
  </si>
  <si>
    <t>juriarte@refax.pe</t>
  </si>
  <si>
    <t>juriarte.refax@gmail.com</t>
  </si>
  <si>
    <t>JIM HURTADO</t>
  </si>
  <si>
    <t>JIM DEREC HURTADO LEONARDO</t>
  </si>
  <si>
    <t>jhurtado@refax.pe</t>
  </si>
  <si>
    <t>jhurtado.refax@gmail.com</t>
  </si>
  <si>
    <t>JIMMY FLORES</t>
  </si>
  <si>
    <t>JIMMY JAVIER FLORES IBAÑEZ</t>
  </si>
  <si>
    <t>jflores@refax.pe</t>
  </si>
  <si>
    <t>jflores.refax@gmail.com</t>
  </si>
  <si>
    <t>JOEL GUTIERREZ</t>
  </si>
  <si>
    <t>JOEL FRANCISCO GUTIERREZ GALLEGOS</t>
  </si>
  <si>
    <t>jgutierrez@refax.pe</t>
  </si>
  <si>
    <t>jgutierrez.refax@gmail.com</t>
  </si>
  <si>
    <t>JOEL HERMOZA</t>
  </si>
  <si>
    <t>JOEL HERMOZA PAIVA</t>
  </si>
  <si>
    <t>jhermoza@refax.pe</t>
  </si>
  <si>
    <t>jhermoza.refax@gmail.com</t>
  </si>
  <si>
    <t>JONATHAN ATOCHE</t>
  </si>
  <si>
    <t>JONATHAN ALEXIS ATOCHE SILVA</t>
  </si>
  <si>
    <t>PRACTICANTE PROFESIONAL DE GESTION COMERCIAL</t>
  </si>
  <si>
    <t>jatoche@refax.pe</t>
  </si>
  <si>
    <t>jatoche.refax@gmail.com</t>
  </si>
  <si>
    <t>00499392</t>
  </si>
  <si>
    <t>JONATHAN VACCARO</t>
  </si>
  <si>
    <t>JONATHAN ALEXIS VACCARO SILVA</t>
  </si>
  <si>
    <t>JEFE CATALOGO MANAGERS</t>
  </si>
  <si>
    <t>jvaccaro@refax.pe</t>
  </si>
  <si>
    <t>jvaccaro.refax@gmail.com</t>
  </si>
  <si>
    <t>JORGE CARRERA</t>
  </si>
  <si>
    <t>JORGE ALBERTO CARRERA CERVANTES</t>
  </si>
  <si>
    <t>jcarrera@refax.pe</t>
  </si>
  <si>
    <t>jcarrera.refax@gmail.com</t>
  </si>
  <si>
    <t>JORGE MINAYA</t>
  </si>
  <si>
    <t>JORGE LUIS MINAYA CAMPUSANO</t>
  </si>
  <si>
    <t>GERENTE DE LOGÍSTICA</t>
  </si>
  <si>
    <t>jminaya@refax.pe</t>
  </si>
  <si>
    <t>jminaya.refax@gmail.com</t>
  </si>
  <si>
    <t>JORGE TENORIO</t>
  </si>
  <si>
    <t>JORGE ALBERTO TENORIO CAMPOS</t>
  </si>
  <si>
    <t>jtenorio@refax.pe</t>
  </si>
  <si>
    <t>jtenorio.refax@gmail.com</t>
  </si>
  <si>
    <t>JORGE VILA</t>
  </si>
  <si>
    <t>JORGE LUIS VILA BALTAZAR</t>
  </si>
  <si>
    <t>jvila@refax.pe</t>
  </si>
  <si>
    <t>jvila.refax@gmail.com</t>
  </si>
  <si>
    <t>JOSE CASTILLO</t>
  </si>
  <si>
    <t>JOSE LUIS CASTILLO LOPEZ</t>
  </si>
  <si>
    <t>jcastillo@refax.pe</t>
  </si>
  <si>
    <t>jcastillo.refax@gmail.com</t>
  </si>
  <si>
    <t>JOSE CUEVA</t>
  </si>
  <si>
    <t>JOSE RUBEN CUEVA LOPEZ</t>
  </si>
  <si>
    <t>SUPERVISOR DE COMERCIO EXTERIOR</t>
  </si>
  <si>
    <t>jcueva@refax.pe</t>
  </si>
  <si>
    <t>jcueva.refax@gmail.com</t>
  </si>
  <si>
    <t>JOSE FERNANDEZ</t>
  </si>
  <si>
    <t>JOSÉ RICARDO FERNANDEZ PIÑA</t>
  </si>
  <si>
    <t>EJECUTIVO B2B - LIMA</t>
  </si>
  <si>
    <t>jfernandez@refax.pe</t>
  </si>
  <si>
    <t>jfernandez.refax@gmail.com</t>
  </si>
  <si>
    <t>JOSE PEREZ</t>
  </si>
  <si>
    <t>JOSE WILMER PEREZ GIRON</t>
  </si>
  <si>
    <t>jperez@refax.pe</t>
  </si>
  <si>
    <t>jperez.refax@gmail.com</t>
  </si>
  <si>
    <t>JOSEPH RUIZ</t>
  </si>
  <si>
    <t>JOSEPH ADRIAN RUIZ ALZAMORA</t>
  </si>
  <si>
    <t>PRACTICANTE TRAINEE</t>
  </si>
  <si>
    <t>jruiz@refax.pe</t>
  </si>
  <si>
    <t>jruiz.refax@gmail.com</t>
  </si>
  <si>
    <t>JUAN BOTTON</t>
  </si>
  <si>
    <t>JUAN MANUEL BOTTON REYNA</t>
  </si>
  <si>
    <t>jbotton@refax.pe</t>
  </si>
  <si>
    <t>jbotton.refax@gmail.com</t>
  </si>
  <si>
    <t>JUAN CAVERO</t>
  </si>
  <si>
    <t>JUAN MANUEL CAVERO VELA</t>
  </si>
  <si>
    <t>ASISTENTE DE DESPACHO Y FACTURACION</t>
  </si>
  <si>
    <t>jcavero@refax.pe</t>
  </si>
  <si>
    <t>jcavero.refax@gmail.com</t>
  </si>
  <si>
    <t>JUAN NAKAZAKI</t>
  </si>
  <si>
    <t>JUAN VICTOR NAKAZAKI ZAPATA</t>
  </si>
  <si>
    <t>jnakazaki@refax.pe</t>
  </si>
  <si>
    <t>jnakazaki.refax@gmail.com</t>
  </si>
  <si>
    <t>JULIO ULLOA</t>
  </si>
  <si>
    <t>JULIO CESAR ULLOA GALINDO</t>
  </si>
  <si>
    <t>julloa@refax.pe</t>
  </si>
  <si>
    <t>julloa.refax@gmail.com</t>
  </si>
  <si>
    <t>JUNIOR VALENCIA</t>
  </si>
  <si>
    <t>JUNIOR VICENTE VALENCIA BAZAN</t>
  </si>
  <si>
    <t>OPERARIO DE SERVICIOS GENERALES</t>
  </si>
  <si>
    <t>jvalencia.refax@gmail.com</t>
  </si>
  <si>
    <t>KARLA CHAYGUAQUE</t>
  </si>
  <si>
    <t>KARLA YSABEL CHAYGUAQUE CHIRINOS</t>
  </si>
  <si>
    <t>Supdevoluciones1@refax.pe</t>
  </si>
  <si>
    <t>supdevoluciones1.refax@gmail.com</t>
  </si>
  <si>
    <t>KATHERIN ROJAS</t>
  </si>
  <si>
    <t>KATHERIN ESTHER ROJAS ANAMPA</t>
  </si>
  <si>
    <t>ASISTENTE DE ATENCION AL CLIENTE Y RECEP</t>
  </si>
  <si>
    <t>krojas@refax.pe</t>
  </si>
  <si>
    <t>krojas.refax@gmail.com</t>
  </si>
  <si>
    <t>KATHERINNE PEREZ</t>
  </si>
  <si>
    <t>KATHERINNE YANETSI PEREZ CASTILLO</t>
  </si>
  <si>
    <t>kperez@refax.pe</t>
  </si>
  <si>
    <t>kperez.refax@gmail.com</t>
  </si>
  <si>
    <t>KATIA REYNA</t>
  </si>
  <si>
    <t>KATIA REYNA VASQUEZ</t>
  </si>
  <si>
    <t xml:space="preserve">EJECUTIVO B2B </t>
  </si>
  <si>
    <t>kreyna@refax.pe</t>
  </si>
  <si>
    <t>kreyna.refax@gmail.com</t>
  </si>
  <si>
    <t>KIMBERLY DEL BUENO</t>
  </si>
  <si>
    <t>KIMBERLY ANDREA DEL BUENO ECHE</t>
  </si>
  <si>
    <t>kbueno@refax.pe</t>
  </si>
  <si>
    <t>kbueno.refax@gmail.com</t>
  </si>
  <si>
    <t>LOURDES SAER</t>
  </si>
  <si>
    <t>LOURDES OFELIA SAER RIOS</t>
  </si>
  <si>
    <t>lsaer@refax.pe</t>
  </si>
  <si>
    <t>callcenter1.refax@gmail.com</t>
  </si>
  <si>
    <t>LUIS ESTRELLA</t>
  </si>
  <si>
    <t>LUIS ENRIQUE ESTRELLA CASTILLO</t>
  </si>
  <si>
    <t>PRODUCT MANAGER</t>
  </si>
  <si>
    <t>lestrella@refax.pe</t>
  </si>
  <si>
    <t>lestrella.refax@gmail.com</t>
  </si>
  <si>
    <t>LUIS NEYRA</t>
  </si>
  <si>
    <t>LUIS DAVID NEYRA RETO</t>
  </si>
  <si>
    <t>lneyra@refax.pe</t>
  </si>
  <si>
    <t>lneyra.refax@gmail.com</t>
  </si>
  <si>
    <t>MANUEL FLORES</t>
  </si>
  <si>
    <t>MANUEL FLORES NUÑEZ</t>
  </si>
  <si>
    <t>mflores@refax.pe</t>
  </si>
  <si>
    <t>mflores.refax@gmail.com</t>
  </si>
  <si>
    <t>MANUEL ANTONIO ZAVALETA VARGAS</t>
  </si>
  <si>
    <t>GERENTE DE VENTAS Y DESARROLLO DE NEGOCIOS</t>
  </si>
  <si>
    <t>mzavaleta@refax.pe</t>
  </si>
  <si>
    <t>mzavaleta.refax@gmail.com</t>
  </si>
  <si>
    <t>MARCO AMORETTI</t>
  </si>
  <si>
    <t>MARCO ANTONIO AMORETTI AYBAR</t>
  </si>
  <si>
    <t>mamoretti@refax.pe</t>
  </si>
  <si>
    <t>mamoretti.refax@gmail.com</t>
  </si>
  <si>
    <t>MARCO CHAVEZ</t>
  </si>
  <si>
    <t>JONATHAN MARCO CHAVEZ LOPEZ</t>
  </si>
  <si>
    <t>mchavez@refax.pe</t>
  </si>
  <si>
    <t>mchavez.refax@gmail.com</t>
  </si>
  <si>
    <t>MARIA MORI</t>
  </si>
  <si>
    <t>MARIA ELENA MORI SUAREZ</t>
  </si>
  <si>
    <t>mmori@refax.pe</t>
  </si>
  <si>
    <t>mmori.refax@gmail.com</t>
  </si>
  <si>
    <t>MARIA ROMERO</t>
  </si>
  <si>
    <t>MARIA DEL PILAR ROMERO CHUNGA</t>
  </si>
  <si>
    <t>mromero@refax.pe</t>
  </si>
  <si>
    <t>MARICARMEN PLASENCIA</t>
  </si>
  <si>
    <t>MARICARMEN PLASENCIA JARA</t>
  </si>
  <si>
    <t>mplasencia@refax.pe</t>
  </si>
  <si>
    <t>callcenter6.refax@gmail.com</t>
  </si>
  <si>
    <t>07341451</t>
  </si>
  <si>
    <t>MARIO VILLEGAS</t>
  </si>
  <si>
    <t>MARIO GERARDO VILLEGAS PACHECO</t>
  </si>
  <si>
    <t>mvillegas@refax.pe</t>
  </si>
  <si>
    <t>mvillegas.refax@gmail.com</t>
  </si>
  <si>
    <t>MAYERLIN BARRERA</t>
  </si>
  <si>
    <t>MAYERLIN MIREYA BARRERA BARRERA</t>
  </si>
  <si>
    <t>mbarrera@refax.pe</t>
  </si>
  <si>
    <t>mbarrera.refax@gmail.com</t>
  </si>
  <si>
    <t>MAYRA MALPARTIDA</t>
  </si>
  <si>
    <t>MAYRA ROSA MALPARTIDA CAMPOS</t>
  </si>
  <si>
    <t>SUPERVISOR DE OPERACIONES ALMACEN</t>
  </si>
  <si>
    <t>mmalpartida@refax.pe</t>
  </si>
  <si>
    <t>mmalpartida.refax@gmail.com</t>
  </si>
  <si>
    <t>MAYRA SANTOS</t>
  </si>
  <si>
    <t>MAYRA ROCIO SANTOS PORLLES</t>
  </si>
  <si>
    <t>msantos@refax.pe</t>
  </si>
  <si>
    <t>callcenter3.refax@gmail.com</t>
  </si>
  <si>
    <t>MILAGROS APAZA</t>
  </si>
  <si>
    <t>MILAGROS SOLEDAD APAZA DELESMA</t>
  </si>
  <si>
    <t>mapaza@refax.pe</t>
  </si>
  <si>
    <t>MILAGROS VALLE</t>
  </si>
  <si>
    <t>MILAGROS GEORGINA VALLE ALMORA</t>
  </si>
  <si>
    <t>mvalle@refax.pe</t>
  </si>
  <si>
    <t>callcenter7.refax@gmail.com</t>
  </si>
  <si>
    <t>MILENKA ROJAS</t>
  </si>
  <si>
    <t>MILENKA FIORELLA ROJAS SALAS</t>
  </si>
  <si>
    <t>ASISTENTE COMERCIAL</t>
  </si>
  <si>
    <t>mrojas@refax.pe</t>
  </si>
  <si>
    <t>mrojas.refax@gmail.com</t>
  </si>
  <si>
    <t>MILNIE GUTIERREZ</t>
  </si>
  <si>
    <t>MILNIE MANUEL GUTIERREZ HUARANCCA</t>
  </si>
  <si>
    <t>mgutierrez@refax.pe</t>
  </si>
  <si>
    <t>mgutierrez.refax@gmail.com</t>
  </si>
  <si>
    <t>MIRIAM PINEDA</t>
  </si>
  <si>
    <t>MIRIAM VIVIANA PINEDA SANCHEZ</t>
  </si>
  <si>
    <t>mpineda@refax.pe</t>
  </si>
  <si>
    <t>mpineda.refax@gmail.com</t>
  </si>
  <si>
    <t>MOISES DIAZ</t>
  </si>
  <si>
    <t>MOISES AGUSTIN DIAZ MIGUEL</t>
  </si>
  <si>
    <t>SUPERVISOR DE CONTROL DE STOCK</t>
  </si>
  <si>
    <t>mdiaz@refax.pe</t>
  </si>
  <si>
    <t>mdiaz.refax@gmail.com</t>
  </si>
  <si>
    <t>NICANOR PRADO</t>
  </si>
  <si>
    <t>NICANOR SIMON PRADO ROMAN</t>
  </si>
  <si>
    <t>nprado@refax.pe</t>
  </si>
  <si>
    <t>nprado.refax@gmail.com</t>
  </si>
  <si>
    <t>OSMAR MONGE</t>
  </si>
  <si>
    <t>OSMAR CRISTOFER MONGE IPARRAGUIRRE</t>
  </si>
  <si>
    <t>omonge@refax.pe</t>
  </si>
  <si>
    <t>omonge.refax@gmail.com</t>
  </si>
  <si>
    <t>OSWALDO CARDENAS</t>
  </si>
  <si>
    <t>OSWALDO CARDENAS DEL AGUILA</t>
  </si>
  <si>
    <t>ocardenas@refax.pe</t>
  </si>
  <si>
    <t>ocardenas.refax@gmail.com</t>
  </si>
  <si>
    <t>OSWALDO DIAZ</t>
  </si>
  <si>
    <t>OSWALDO DIAZ GUARNIZ</t>
  </si>
  <si>
    <t>odiaz@refax.pe</t>
  </si>
  <si>
    <t>odiaz.refax@gmail.com</t>
  </si>
  <si>
    <t>PALMIRA GARCIA</t>
  </si>
  <si>
    <t>PALMIRA CLOTILDE GARCIA MEZA</t>
  </si>
  <si>
    <t>ANALISTA DE COMPRAS</t>
  </si>
  <si>
    <t>pagarcia@refax.pe</t>
  </si>
  <si>
    <t>pagarcia.refax@gmail.com</t>
  </si>
  <si>
    <t>PAMELA SAAVEDRA</t>
  </si>
  <si>
    <t>LAHISA PAMELA SAAVEDRA CABREJOS</t>
  </si>
  <si>
    <t>EJECUTIVA B2B</t>
  </si>
  <si>
    <t>psaavedra@refax.pe</t>
  </si>
  <si>
    <t>psaavedra.refax@gmail.com</t>
  </si>
  <si>
    <t>PAOLA PAYVA</t>
  </si>
  <si>
    <t>PAOLA ARACELLY PAYVA BALDEON</t>
  </si>
  <si>
    <t>ppayva@refax.pe</t>
  </si>
  <si>
    <t>ppayva.refax@gmail.com</t>
  </si>
  <si>
    <t>PAUL BRAVO</t>
  </si>
  <si>
    <t>PAUL RODOLFO BRAVO PADILLA</t>
  </si>
  <si>
    <t>JEFE DE CONTABILIDAD</t>
  </si>
  <si>
    <t>pbravo@refax.pe</t>
  </si>
  <si>
    <t>pbravo.refax@gmail.com</t>
  </si>
  <si>
    <t>RAUL ANYOSA</t>
  </si>
  <si>
    <t>RAUL HERACLIDES ANYOSA SALDAÑA</t>
  </si>
  <si>
    <t>ranyosa@refax.pe</t>
  </si>
  <si>
    <t>ranyosa.refax@gmail.com</t>
  </si>
  <si>
    <t>REBECA CACERES</t>
  </si>
  <si>
    <t>REBECA YSABEL CACERES CESPEDES</t>
  </si>
  <si>
    <t>SUPERVISOR DE OPERACIONES RECEPCION</t>
  </si>
  <si>
    <t>rcaceres@refax.pe</t>
  </si>
  <si>
    <t>rcaceres.refax@gmail.com</t>
  </si>
  <si>
    <t>RENZO HUAMAN</t>
  </si>
  <si>
    <t>RENZO WILMAN HUAMAN ALLCCA</t>
  </si>
  <si>
    <t>rhuaman@refax.pe</t>
  </si>
  <si>
    <t>rhuaman.refax@gmail.com</t>
  </si>
  <si>
    <t>RENZO NUREÑA</t>
  </si>
  <si>
    <t>RENZO EDDIE NUREÑA NORIEGA</t>
  </si>
  <si>
    <t>JEFE DE COBRANZAS</t>
  </si>
  <si>
    <t>rnureña@refax.pe</t>
  </si>
  <si>
    <t>RICARDO INFANTES</t>
  </si>
  <si>
    <t>RICARDO MANUEL INFANTES CAMPOS</t>
  </si>
  <si>
    <t>rinfantes@refax.pe</t>
  </si>
  <si>
    <t>rinfantes.refax@gmail.com</t>
  </si>
  <si>
    <t>09562343</t>
  </si>
  <si>
    <t>RICHARD SALAZAR</t>
  </si>
  <si>
    <t>RICHARD EDWING SALAZAR ROJO</t>
  </si>
  <si>
    <t>ANALISTA DE COMPRAS Y SERVICIOS GENERALES</t>
  </si>
  <si>
    <t>rsalazar@refax.pe</t>
  </si>
  <si>
    <t>rsalazar.refax@gmail.com</t>
  </si>
  <si>
    <t>ROGER CHUMBES</t>
  </si>
  <si>
    <t>ROGER EFRAIN CHUMBES CAMPOS</t>
  </si>
  <si>
    <t>rchumbes@refax.pe</t>
  </si>
  <si>
    <t>rchumbes.refax@gmail.com</t>
  </si>
  <si>
    <t>ROGER RUIZ</t>
  </si>
  <si>
    <t>ROGER RUIZ TORRES</t>
  </si>
  <si>
    <t>rruiz@refax.pe</t>
  </si>
  <si>
    <t>rruiz.refax@gmail.com</t>
  </si>
  <si>
    <t>ROSARIO CARBAJAL</t>
  </si>
  <si>
    <t>ROSARIO DEL PILAR CARBAJAL OCAÑA</t>
  </si>
  <si>
    <t>rcarbajal@refax.pe</t>
  </si>
  <si>
    <t>callcenter2.refax@gmail.com</t>
  </si>
  <si>
    <t>ROSSMARY PILLACA</t>
  </si>
  <si>
    <t>ROSSMARY SARITA PILLACA JANAMPA</t>
  </si>
  <si>
    <t>ANALISTA DE COMERCIO EXTERIOR</t>
  </si>
  <si>
    <t>rpillaca@refax.pe</t>
  </si>
  <si>
    <t>rpillaca.refax@gmail.com</t>
  </si>
  <si>
    <t>SAMUEL OMAR SOTO BAZALAR</t>
  </si>
  <si>
    <t>ssoto@refax.pe</t>
  </si>
  <si>
    <t>ssoto.refax@gmail.com</t>
  </si>
  <si>
    <t>SANDRA CUARESMAYO</t>
  </si>
  <si>
    <t>SANDRA MARIELA CUARESMAYO ESPINOZA</t>
  </si>
  <si>
    <t>scuaresmayo@refax.pe</t>
  </si>
  <si>
    <t>scuaresmayo.refax@gmail.com</t>
  </si>
  <si>
    <t>SAYURI JOAQUIN</t>
  </si>
  <si>
    <t xml:space="preserve">MARTHA SAYURI MILAGROS JOAQUIN SANCHEZ </t>
  </si>
  <si>
    <t>sjoaquin@refax.pe</t>
  </si>
  <si>
    <t>sjoaquin.refax@gmail.com</t>
  </si>
  <si>
    <t>SHEYLA CHOQUE</t>
  </si>
  <si>
    <t>SHEYLA FIORELLA CHOQUE LEON</t>
  </si>
  <si>
    <t>schoque@refax.pe</t>
  </si>
  <si>
    <t>schoque.refax@gmail.com</t>
  </si>
  <si>
    <t>SISSY REVOLLEDO</t>
  </si>
  <si>
    <t>SISSY DOMINIQUE REVOLLEDO SOLIS</t>
  </si>
  <si>
    <t>srevolledo@refax.pe</t>
  </si>
  <si>
    <t>srevolledo.refax@gmail.com</t>
  </si>
  <si>
    <t>SUSANA BENITES</t>
  </si>
  <si>
    <t>SUSANA JHARE BENITES RAMIREZ</t>
  </si>
  <si>
    <t>ASISTENTE DE REPOSICION</t>
  </si>
  <si>
    <t>sbenites@refax.pe</t>
  </si>
  <si>
    <t>sbenites.refax@gmail.com</t>
  </si>
  <si>
    <t>08165403</t>
  </si>
  <si>
    <t>SUSSAN HUAPAYA</t>
  </si>
  <si>
    <t>SUSSAN ALICE HUAPAYA YATACO</t>
  </si>
  <si>
    <t>shuapaya@refax.pe</t>
  </si>
  <si>
    <t>shuapaya.refax@gmail.com</t>
  </si>
  <si>
    <t>SUSSAN OBREGON</t>
  </si>
  <si>
    <t>SUSSAN OBREGON VILLEGAS</t>
  </si>
  <si>
    <t>sobregon@refax.pe</t>
  </si>
  <si>
    <t>sobregon.refax@gmail.com</t>
  </si>
  <si>
    <t>URSULA LECCA</t>
  </si>
  <si>
    <t>URSULA REBECA LECCA ESPINOZA</t>
  </si>
  <si>
    <t>ANALISTA DE POST VENTA</t>
  </si>
  <si>
    <t>ulecca@refax.pe</t>
  </si>
  <si>
    <t>ulecca.refax@gmail.com</t>
  </si>
  <si>
    <t>VANESA BECERRA</t>
  </si>
  <si>
    <t>VANESA SOFIA BECERRA CUEVA</t>
  </si>
  <si>
    <t>vbecerra@refax.pe</t>
  </si>
  <si>
    <t>vbecerra.refax@gmail.com</t>
  </si>
  <si>
    <t>VERONICA RUELAS</t>
  </si>
  <si>
    <t>VERONICA VALERIA RUELAS GUARDIA</t>
  </si>
  <si>
    <t>JEFE DE OPERACIONES - INBOUND</t>
  </si>
  <si>
    <t>vruelas@refax.pe</t>
  </si>
  <si>
    <t>vruelas.refax@gmail.com</t>
  </si>
  <si>
    <t>VICTOR TORRES</t>
  </si>
  <si>
    <t xml:space="preserve">VICTOR RUUD TORRES GONZALES </t>
  </si>
  <si>
    <t>vtorres@refax.pe</t>
  </si>
  <si>
    <t>vtorres.refax@gmail.com</t>
  </si>
  <si>
    <t>VIVANA PINEDO</t>
  </si>
  <si>
    <t>VIVIANA PINEDO SEMINARIO</t>
  </si>
  <si>
    <t>vpinedo@refax.pe</t>
  </si>
  <si>
    <t>vpinedo.refax@gmail.com</t>
  </si>
  <si>
    <t>WALTER OLARDIN RUIZ RAMIREZ</t>
  </si>
  <si>
    <t>GERENTE DE VENTAS Y DESARROLLO DE PRODUCTOS</t>
  </si>
  <si>
    <t>wruiz@refax.pe</t>
  </si>
  <si>
    <t>wruiz.refax@gmail.com</t>
  </si>
  <si>
    <t>WILLIAM MARTINEZ</t>
  </si>
  <si>
    <t>WILLIAM LUIS MARTINEZ GALVEZ</t>
  </si>
  <si>
    <t>JEFE DE OPERACIONES OUTBOUND}</t>
  </si>
  <si>
    <t>wmartinez@refax.pe</t>
  </si>
  <si>
    <t>wmartinez.refax@gmail.com</t>
  </si>
  <si>
    <t>WILLIAM VASQUEZ</t>
  </si>
  <si>
    <t>WALTER WILLIAM VASQUEZ CALMET</t>
  </si>
  <si>
    <t>wvasquez@refax.pe</t>
  </si>
  <si>
    <t>wvasquez.refax@gmail.com</t>
  </si>
  <si>
    <t>YENNY MARIN</t>
  </si>
  <si>
    <t>YENNY YUBISAY MARIN</t>
  </si>
  <si>
    <t>ymarin@refax.pe</t>
  </si>
  <si>
    <t>ymarin.refax@gmail.com</t>
  </si>
  <si>
    <t>YESSICA DELGADO</t>
  </si>
  <si>
    <t>YESSICA PATRICIA DELGADO ARAGON</t>
  </si>
  <si>
    <t>ydelgado@refax.pe</t>
  </si>
  <si>
    <t>ydelgado.refax@gmail.com</t>
  </si>
  <si>
    <t>DNI</t>
  </si>
  <si>
    <t>PUESTO</t>
  </si>
  <si>
    <t>TRABAJO - CENTRO DE COSTO</t>
  </si>
  <si>
    <t>MAYUSCULAS</t>
  </si>
  <si>
    <t>70501486</t>
  </si>
  <si>
    <t>Abregu Vasquez Claudia Alejandra</t>
  </si>
  <si>
    <t>0502-RR.HH.</t>
  </si>
  <si>
    <t>75331770</t>
  </si>
  <si>
    <t>Acevedo Medina Anthony</t>
  </si>
  <si>
    <t>0702-Bodega</t>
  </si>
  <si>
    <t>46241165</t>
  </si>
  <si>
    <t>Achata Roque Edwin Alberto</t>
  </si>
  <si>
    <t>0205-Ventas Presencial Huascaran</t>
  </si>
  <si>
    <t>42492220</t>
  </si>
  <si>
    <t>Aguirre Nuñez Carlos Emilio</t>
  </si>
  <si>
    <t>0201-Ventas Presencial</t>
  </si>
  <si>
    <t>09696256</t>
  </si>
  <si>
    <t>Aguirre Rojas Jose Manuel</t>
  </si>
  <si>
    <t>002257213</t>
  </si>
  <si>
    <t>Albarran Villasmil Edgar Alejandro</t>
  </si>
  <si>
    <t>70903842</t>
  </si>
  <si>
    <t>Alburqueque Armas Anais Selene</t>
  </si>
  <si>
    <t>0501-Pricing-Inteligencia Comercial</t>
  </si>
  <si>
    <t>47251305</t>
  </si>
  <si>
    <t>Alca Jeri Diego Alonso</t>
  </si>
  <si>
    <t>0102-Productos</t>
  </si>
  <si>
    <t>45241545</t>
  </si>
  <si>
    <t>Amasifuen Silva Blas Mario</t>
  </si>
  <si>
    <t>OPERARIO DE DEVOLUCIONES</t>
  </si>
  <si>
    <t>09766665</t>
  </si>
  <si>
    <t>Anyosa Saldaña Raul Heraclides</t>
  </si>
  <si>
    <t>0101-Compras</t>
  </si>
  <si>
    <t>48350278</t>
  </si>
  <si>
    <t>Aparicio Salazar Lidia Fabiana</t>
  </si>
  <si>
    <t>71318776</t>
  </si>
  <si>
    <t>Apaza Ccorimanya Emily Irene</t>
  </si>
  <si>
    <t>0203-B2B</t>
  </si>
  <si>
    <t>40895604</t>
  </si>
  <si>
    <t>Apaza Delesma Milagros Soledad</t>
  </si>
  <si>
    <t>CREDITOS Y COBRANZAS</t>
  </si>
  <si>
    <t>0403-Creditos y Cobranzas</t>
  </si>
  <si>
    <t>44369952</t>
  </si>
  <si>
    <t>Apolinario Cochachi Gerson Gregorio</t>
  </si>
  <si>
    <t>43195035</t>
  </si>
  <si>
    <t>Arbieto Ramirez Cristina</t>
  </si>
  <si>
    <t>46854823</t>
  </si>
  <si>
    <t>Arevalo Garrido Cristhian Daniel</t>
  </si>
  <si>
    <t>Arispe Oviedo Andres Fernando</t>
  </si>
  <si>
    <t>71579852</t>
  </si>
  <si>
    <t>Atoche Silva Jonathan Alexis</t>
  </si>
  <si>
    <t>PRACTICANTE DE GESTIÓN COMERCIAL</t>
  </si>
  <si>
    <t>0500-Gerencia General</t>
  </si>
  <si>
    <t>46396601</t>
  </si>
  <si>
    <t>Añazco Delgado German Alonso</t>
  </si>
  <si>
    <t>44766867</t>
  </si>
  <si>
    <t>Bardales Lopez Juan Christian</t>
  </si>
  <si>
    <t>OPERARIO DE REVISIÓN TÉCNICA</t>
  </si>
  <si>
    <t>45988391</t>
  </si>
  <si>
    <t>Barrantes Rodriguez Carlos Xavier</t>
  </si>
  <si>
    <t>71507257</t>
  </si>
  <si>
    <t>Barranzuela Lopez Erick Alonso</t>
  </si>
  <si>
    <t>002044027</t>
  </si>
  <si>
    <t>Barrera Barrera Mayerlin Mireya</t>
  </si>
  <si>
    <t>77040210</t>
  </si>
  <si>
    <t>Barrionuevo Espinoza Abel Cain</t>
  </si>
  <si>
    <t>OPERARIO DE MONTACARGA</t>
  </si>
  <si>
    <t>73577195</t>
  </si>
  <si>
    <t>Becerra Cueva Vanesa Sofia</t>
  </si>
  <si>
    <t>74746546</t>
  </si>
  <si>
    <t>Berru Garcia Dennis Omar</t>
  </si>
  <si>
    <t>76351209</t>
  </si>
  <si>
    <t>Botello Diaz Elizabeth Rosario</t>
  </si>
  <si>
    <t>07429231</t>
  </si>
  <si>
    <t>Botton Reyna Juan Manuel</t>
  </si>
  <si>
    <t>Bravo Padilla Paul Rodolfo</t>
  </si>
  <si>
    <t>0402-Contabilidad</t>
  </si>
  <si>
    <t>71468909</t>
  </si>
  <si>
    <t>Broggi Mellado Diana</t>
  </si>
  <si>
    <t>75238868</t>
  </si>
  <si>
    <t>Bueno Diaz Brayan Jolbert</t>
  </si>
  <si>
    <t>44313391</t>
  </si>
  <si>
    <t>Bustos Bueno Guina</t>
  </si>
  <si>
    <t>0401-Tesoreria</t>
  </si>
  <si>
    <t>74174770</t>
  </si>
  <si>
    <t>Caceres Cespedes Rebeca Ysabel</t>
  </si>
  <si>
    <t>41462757</t>
  </si>
  <si>
    <t>Calcina Andia Luis Alberto</t>
  </si>
  <si>
    <t>10344069</t>
  </si>
  <si>
    <t>Carbajal Ocaña Rosario Del Pilar</t>
  </si>
  <si>
    <t>0202-Ventas Call Center</t>
  </si>
  <si>
    <t>05381802</t>
  </si>
  <si>
    <t>Cardenas Del Aguila Oswaldo</t>
  </si>
  <si>
    <t>70307921</t>
  </si>
  <si>
    <t>Carrasco Ccasa Claudia Stefany</t>
  </si>
  <si>
    <t>45340836</t>
  </si>
  <si>
    <t>Carrera Cervantes Jorge Alberto</t>
  </si>
  <si>
    <t>41793237</t>
  </si>
  <si>
    <t>Castillo Lopez Jose Luis</t>
  </si>
  <si>
    <t>60896196</t>
  </si>
  <si>
    <t>Castro Gonzales Rodrigo Dalessandro</t>
  </si>
  <si>
    <t>40727808</t>
  </si>
  <si>
    <t>Castro Ordinola Jan Paul</t>
  </si>
  <si>
    <t>71638347</t>
  </si>
  <si>
    <t>Cavero Vela Juan Manuel</t>
  </si>
  <si>
    <t>LIDER DE LOGISTICA INVERSA</t>
  </si>
  <si>
    <t>70387481</t>
  </si>
  <si>
    <t>Centeno Obispo Hector Manuel</t>
  </si>
  <si>
    <t>76235498</t>
  </si>
  <si>
    <t>Ceron Vargas Eduard Paul</t>
  </si>
  <si>
    <t>44259648</t>
  </si>
  <si>
    <t>Challco Veliz Alexis Renzo</t>
  </si>
  <si>
    <t>43971969</t>
  </si>
  <si>
    <t>Chavez Lopez Jonathan Marcos</t>
  </si>
  <si>
    <t>40729785</t>
  </si>
  <si>
    <t>Chavez Montano Jaime Aparicio</t>
  </si>
  <si>
    <t>72871052</t>
  </si>
  <si>
    <t>Chayguaque Chirinos Karla Ysabel</t>
  </si>
  <si>
    <t>74846881</t>
  </si>
  <si>
    <t>Chirinos Castillo Gabriela Susana</t>
  </si>
  <si>
    <t>72248823</t>
  </si>
  <si>
    <t>Choque Leon Sheyla Fiorella</t>
  </si>
  <si>
    <t>42592774</t>
  </si>
  <si>
    <t>Chumbes Campos Roger Efrain</t>
  </si>
  <si>
    <t>72424538</t>
  </si>
  <si>
    <t>Crisostomo Perez Juan Moises</t>
  </si>
  <si>
    <t>71693544</t>
  </si>
  <si>
    <t>Cubas Toro Alissa Yasmine</t>
  </si>
  <si>
    <t>46139602</t>
  </si>
  <si>
    <t>Cueva López José Rubén</t>
  </si>
  <si>
    <t>75965775</t>
  </si>
  <si>
    <t>Cuzcano De La Cruz Carlos Daniel</t>
  </si>
  <si>
    <t>45428802</t>
  </si>
  <si>
    <t>Del Bueno Eche Kimberly Andrea</t>
  </si>
  <si>
    <t>21577031</t>
  </si>
  <si>
    <t>Del Castillo Velasco Hector Eduardo</t>
  </si>
  <si>
    <t>43023143</t>
  </si>
  <si>
    <t>Delgado Aragon Yessica Patricia</t>
  </si>
  <si>
    <t>18198667</t>
  </si>
  <si>
    <t>Diaz Guarniz Oswaldo</t>
  </si>
  <si>
    <t>45507503</t>
  </si>
  <si>
    <t>Diaz La Rosa Angelica Maria</t>
  </si>
  <si>
    <t>70342391</t>
  </si>
  <si>
    <t>Diaz Miguel Moises Agustin</t>
  </si>
  <si>
    <t>0405-Control de Stock</t>
  </si>
  <si>
    <t>46250935</t>
  </si>
  <si>
    <t>Diaz Peralta Cristian Javier</t>
  </si>
  <si>
    <t>42850257</t>
  </si>
  <si>
    <t>Diaz Ponce Cristina Elizabeth</t>
  </si>
  <si>
    <t>70339731</t>
  </si>
  <si>
    <t>Espinoza Hurtado Diego Armando</t>
  </si>
  <si>
    <t>46001619</t>
  </si>
  <si>
    <t>Estrella Castillo Luis Enrique</t>
  </si>
  <si>
    <t>70343107</t>
  </si>
  <si>
    <t>Falcon Lostanau Jose Eduardo</t>
  </si>
  <si>
    <t>19098582</t>
  </si>
  <si>
    <t>Flores Ibañez Jimmy Javier</t>
  </si>
  <si>
    <t>73708532</t>
  </si>
  <si>
    <t>Flores Nuñez Manuel</t>
  </si>
  <si>
    <t>46537762</t>
  </si>
  <si>
    <t>Garcia Meza Palmira Clotilde</t>
  </si>
  <si>
    <t>48112612</t>
  </si>
  <si>
    <t>Garcia Vidaure Pedro Daniel</t>
  </si>
  <si>
    <t>74125111</t>
  </si>
  <si>
    <t>Garriazo Garibay Erick Jesus</t>
  </si>
  <si>
    <t>77698152</t>
  </si>
  <si>
    <t>Gonia Curioso Denniz Mercedes</t>
  </si>
  <si>
    <t>41467941</t>
  </si>
  <si>
    <t>Gutierrez Gallegos Joel Francisco</t>
  </si>
  <si>
    <t>42103789</t>
  </si>
  <si>
    <t>Gutierrez Huarancca Ivan David</t>
  </si>
  <si>
    <t>70909518</t>
  </si>
  <si>
    <t>Gutierrez Huarancca Milnie Manuel</t>
  </si>
  <si>
    <t>72194044</t>
  </si>
  <si>
    <t>Haro Caycho Diego Fabricio</t>
  </si>
  <si>
    <t>OPERARIO DE CONTROL DE STOCK</t>
  </si>
  <si>
    <t>24965874</t>
  </si>
  <si>
    <t>Hermoza Paiva Joel</t>
  </si>
  <si>
    <t>72635489</t>
  </si>
  <si>
    <t>Hernandez Bacon Diana Lucia</t>
  </si>
  <si>
    <t>JEFE DE COMPRAS CORPORATIVO</t>
  </si>
  <si>
    <t>25785885</t>
  </si>
  <si>
    <t>Hidalgo Cadillo Enrique Martin</t>
  </si>
  <si>
    <t>JEFE DE CANAL DE VENTAS CALL CENTER</t>
  </si>
  <si>
    <t>73453389</t>
  </si>
  <si>
    <t>Hoyos Reque Alexander Paul</t>
  </si>
  <si>
    <t>43851176</t>
  </si>
  <si>
    <t>Huaman Allcca Renzo Wilman</t>
  </si>
  <si>
    <t>Huapaya Yataco Sussan Alice</t>
  </si>
  <si>
    <t>08166003</t>
  </si>
  <si>
    <t>Hurtado Leonardo Jim Derec</t>
  </si>
  <si>
    <t>41627984</t>
  </si>
  <si>
    <t>Infantes Campos Ricardo Manuel</t>
  </si>
  <si>
    <t>74322204</t>
  </si>
  <si>
    <t>Isuiza Zavaleta Cheberlith</t>
  </si>
  <si>
    <t>46751874</t>
  </si>
  <si>
    <t>Joaquin Sanchez Martha Sayuri Milagros</t>
  </si>
  <si>
    <t>08887718</t>
  </si>
  <si>
    <t>Juarez Chinchay Hugo Santiago</t>
  </si>
  <si>
    <t>SUPERVISOR DE REVISION TECNICA</t>
  </si>
  <si>
    <t>73332707</t>
  </si>
  <si>
    <t>Juarez Concha Hector Manuel</t>
  </si>
  <si>
    <t>47838798</t>
  </si>
  <si>
    <t>Laurente Huaman Fabiola Nicole</t>
  </si>
  <si>
    <t>ANALISTA DE NOMINA Y ADMINISTRACION DE PERSONAL</t>
  </si>
  <si>
    <t>76123797</t>
  </si>
  <si>
    <t>Lecca Espinoza Ursula Rebeca</t>
  </si>
  <si>
    <t>71538287</t>
  </si>
  <si>
    <t>Lluen Burga Alicia Franchesca</t>
  </si>
  <si>
    <t>ANALISTA DE CONTABILIDAD</t>
  </si>
  <si>
    <t>72789183</t>
  </si>
  <si>
    <t>Lopez Rivas Liza Nayeli</t>
  </si>
  <si>
    <t>73596390</t>
  </si>
  <si>
    <t>Lopez Villar Marcelo Joaquin</t>
  </si>
  <si>
    <t>60749015</t>
  </si>
  <si>
    <t>Lucero Jara Nicolas Alonzo</t>
  </si>
  <si>
    <t>75387823</t>
  </si>
  <si>
    <t>Lume Chavez Renzo Joel</t>
  </si>
  <si>
    <t>42236011</t>
  </si>
  <si>
    <t>Malca Canchari Guillermo Eduardo</t>
  </si>
  <si>
    <t>73359611</t>
  </si>
  <si>
    <t>Malca Machuca Ana Marixa</t>
  </si>
  <si>
    <t>46367604</t>
  </si>
  <si>
    <t>Malpartida Campos Mayra Rosa</t>
  </si>
  <si>
    <t>007363568</t>
  </si>
  <si>
    <t>Marchan Gonzalez Luz Marina</t>
  </si>
  <si>
    <t>43762449</t>
  </si>
  <si>
    <t>Martinez Galvez William Luis</t>
  </si>
  <si>
    <t>JEFE DE OPERACIONES OUTBOUND</t>
  </si>
  <si>
    <t>46165445</t>
  </si>
  <si>
    <t>Martinez Gonzales Eliana Del Carmen</t>
  </si>
  <si>
    <t>003327852</t>
  </si>
  <si>
    <t>Marín  Yenny Yubisay</t>
  </si>
  <si>
    <t>48044145</t>
  </si>
  <si>
    <t>Minaya Campusano Jorge Luis</t>
  </si>
  <si>
    <t>77474428</t>
  </si>
  <si>
    <t>Mogollon Ramirez Javier</t>
  </si>
  <si>
    <t>44958559</t>
  </si>
  <si>
    <t>Monge Iparraguirre Osmar Cristofer</t>
  </si>
  <si>
    <t>44017354</t>
  </si>
  <si>
    <t>Mori Suarez Maria Elena</t>
  </si>
  <si>
    <t>70513870</t>
  </si>
  <si>
    <t>Mosquera Salazar Beercely Jazmin Del Rosario</t>
  </si>
  <si>
    <t>43270952</t>
  </si>
  <si>
    <t>Nakazaki Zapata Juan Victor</t>
  </si>
  <si>
    <t>42641238</t>
  </si>
  <si>
    <t>Nava Zamora Gustavo Adolfo</t>
  </si>
  <si>
    <t>46427052</t>
  </si>
  <si>
    <t>Neyra Reto Luis Davis</t>
  </si>
  <si>
    <t>45724525</t>
  </si>
  <si>
    <t>Nureña Noriega Renzo Eddie</t>
  </si>
  <si>
    <t>40769441</t>
  </si>
  <si>
    <t>Obregon Villegas Sussan</t>
  </si>
  <si>
    <t>74021117</t>
  </si>
  <si>
    <t>Ortiz Arellano Martha Yuliana</t>
  </si>
  <si>
    <t>10268632</t>
  </si>
  <si>
    <t>Otero Ramirez Francisco De Paula</t>
  </si>
  <si>
    <t>07222879</t>
  </si>
  <si>
    <t>Pardo Astocaza De Alarcon Dionisia Alodia</t>
  </si>
  <si>
    <t>41416951</t>
  </si>
  <si>
    <t>Payva Baldeón Paola Aracelly</t>
  </si>
  <si>
    <t>48928780</t>
  </si>
  <si>
    <t>Perez Castillo Katherinne Yanetsi</t>
  </si>
  <si>
    <t>08472017</t>
  </si>
  <si>
    <t>Perez Giron Jose Wilmer</t>
  </si>
  <si>
    <t>76022956</t>
  </si>
  <si>
    <t>Perez Taipe Ronald</t>
  </si>
  <si>
    <t>10140159</t>
  </si>
  <si>
    <t>Philipps Bueno Carolina Cinthia</t>
  </si>
  <si>
    <t>70989037</t>
  </si>
  <si>
    <t>Pillaca Janampa Rossmary Sarita</t>
  </si>
  <si>
    <t>44924181</t>
  </si>
  <si>
    <t>Pineda Sanchez Miriam Viviana</t>
  </si>
  <si>
    <t>43692257</t>
  </si>
  <si>
    <t>Pinedo Seminario Viviana</t>
  </si>
  <si>
    <t>Plasencia Jara Maricarmen</t>
  </si>
  <si>
    <t>40985749</t>
  </si>
  <si>
    <t>Prado Roman Nicanor Simon</t>
  </si>
  <si>
    <t>72545669</t>
  </si>
  <si>
    <t>Quezada Noriega Alejandra Daniela</t>
  </si>
  <si>
    <t>10735376</t>
  </si>
  <si>
    <t>Ramirez Ramos Christian Segundo</t>
  </si>
  <si>
    <t>0602-TI</t>
  </si>
  <si>
    <t>77691722</t>
  </si>
  <si>
    <t>Revolledo Solis Sissy Dominique</t>
  </si>
  <si>
    <t>46537550</t>
  </si>
  <si>
    <t>Reyna Vasquez Katia Geraldine</t>
  </si>
  <si>
    <t>47246317</t>
  </si>
  <si>
    <t>Rojas Anampa Katherin Esther</t>
  </si>
  <si>
    <t>ASISTENTE DE ATENCIÓN AL CLIENTE Y RECEPCIÓN</t>
  </si>
  <si>
    <t>40240141</t>
  </si>
  <si>
    <t>Rojas Capcha Daniel Heraclio</t>
  </si>
  <si>
    <t>41295708</t>
  </si>
  <si>
    <t>Rojas Pizango Daniel</t>
  </si>
  <si>
    <t>Romero Chunga Maria Del Pilar</t>
  </si>
  <si>
    <t>81178656</t>
  </si>
  <si>
    <t>Ruiz Alzamora Joseph Adrian</t>
  </si>
  <si>
    <t>72671164</t>
  </si>
  <si>
    <t>Ruiz Maravi Andrea Milagros</t>
  </si>
  <si>
    <t>41803472</t>
  </si>
  <si>
    <t>Ruiz Ramirez Cristian Eduardo</t>
  </si>
  <si>
    <t>18903072</t>
  </si>
  <si>
    <t>Ruiz Ramirez Walter Olardin</t>
  </si>
  <si>
    <t>19082014</t>
  </si>
  <si>
    <t>Ruiz Torres Roger</t>
  </si>
  <si>
    <t>45795280</t>
  </si>
  <si>
    <t>Saavedra Cabrejos Lahisa Pamela</t>
  </si>
  <si>
    <t>41242952</t>
  </si>
  <si>
    <t>Saer Rios Lourdes Ofelia</t>
  </si>
  <si>
    <t>Salazar Rojo Richard Edwing</t>
  </si>
  <si>
    <t>0400-Administracion</t>
  </si>
  <si>
    <t>45756489</t>
  </si>
  <si>
    <t>Sanchez Conde Martin Miguel</t>
  </si>
  <si>
    <t>17434279</t>
  </si>
  <si>
    <t>Sandoval Guillermo Carlos Enrique</t>
  </si>
  <si>
    <t>74058571</t>
  </si>
  <si>
    <t>Santos Hidalgo Josue Luis</t>
  </si>
  <si>
    <t>40336266</t>
  </si>
  <si>
    <t>Santos Porlles Mayra Rocio</t>
  </si>
  <si>
    <t>48250913</t>
  </si>
  <si>
    <t>Satalaya Inuma Jerry Jordan</t>
  </si>
  <si>
    <t>41165325</t>
  </si>
  <si>
    <t>Serquen Pastor Dannel Roberto</t>
  </si>
  <si>
    <t>76856031</t>
  </si>
  <si>
    <t>Soller Laiza Gianella Anthuanet</t>
  </si>
  <si>
    <t>ASISTENTE DE TESORERIA</t>
  </si>
  <si>
    <t>Soria Gonzalez Anselmo Felix</t>
  </si>
  <si>
    <t>42096677</t>
  </si>
  <si>
    <t>Sotero Tantalean Angela</t>
  </si>
  <si>
    <t>47896339</t>
  </si>
  <si>
    <t>Soto Bazalar Samuel Omar</t>
  </si>
  <si>
    <t>40427269</t>
  </si>
  <si>
    <t>Suematzu Yagi Javier Carlos</t>
  </si>
  <si>
    <t>74839293</t>
  </si>
  <si>
    <t>Tapia Pardo Jose Alonso</t>
  </si>
  <si>
    <t>10221467</t>
  </si>
  <si>
    <t>Tenorio Campos Jorge Alberto</t>
  </si>
  <si>
    <t>71168594</t>
  </si>
  <si>
    <t>Terezo Liberato Caleb Pedro</t>
  </si>
  <si>
    <t>45662725</t>
  </si>
  <si>
    <t>Tiza Cotrina Emilia Geny</t>
  </si>
  <si>
    <t>76258899</t>
  </si>
  <si>
    <t>Torres Bances Andy Smith</t>
  </si>
  <si>
    <t>45112138</t>
  </si>
  <si>
    <t>Torres Gonzales Victor Ruud</t>
  </si>
  <si>
    <t>06773170</t>
  </si>
  <si>
    <t>Ulloa Galindo Julio Cesar</t>
  </si>
  <si>
    <t>47145798</t>
  </si>
  <si>
    <t>Uriarte Palacios Jeimy Enrique</t>
  </si>
  <si>
    <t>Vaccaro Silva Jonathan Alexis</t>
  </si>
  <si>
    <t>40436993</t>
  </si>
  <si>
    <t>Valle Almora Milagros Georgina</t>
  </si>
  <si>
    <t>72754112</t>
  </si>
  <si>
    <t>Vargas Flores Johanna Antonella</t>
  </si>
  <si>
    <t>PRACTICANTE DE PROCESOS Y MEJORA CONTINUA</t>
  </si>
  <si>
    <t>40182991</t>
  </si>
  <si>
    <t>Vasquez Calmet Walter William</t>
  </si>
  <si>
    <t>09697341</t>
  </si>
  <si>
    <t>Viera Mogollon Cesar</t>
  </si>
  <si>
    <t>47614500</t>
  </si>
  <si>
    <t>Vila Baltazar Jorge Luis</t>
  </si>
  <si>
    <t>45123698</t>
  </si>
  <si>
    <t>Villafuerte Reguera Hugo Andres Aldo</t>
  </si>
  <si>
    <t>06806601</t>
  </si>
  <si>
    <t>Villagaray Montaldo Jean Pierre</t>
  </si>
  <si>
    <t>41556142</t>
  </si>
  <si>
    <t>Villanueva Morales Olger Eli</t>
  </si>
  <si>
    <t>Villegas Pacheco Mario Gerardo</t>
  </si>
  <si>
    <t>10093372</t>
  </si>
  <si>
    <t>Yactayo Cuzcano Felix Oswaldo</t>
  </si>
  <si>
    <t>45440529</t>
  </si>
  <si>
    <t>Yataco Saldaña Andrea Denis</t>
  </si>
  <si>
    <t>008414164</t>
  </si>
  <si>
    <t>Zambrano Zambrano Simon Bolivar</t>
  </si>
  <si>
    <t>43974553</t>
  </si>
  <si>
    <t>Zavaleta Vargas Manuel Antonio</t>
  </si>
  <si>
    <t>07598213</t>
  </si>
  <si>
    <t>Zegarra Garibaldi Javier Roberto</t>
  </si>
  <si>
    <t>USUARIO ANTERIOR PERTENECIENTE</t>
  </si>
  <si>
    <t>TIPO EQUIPO</t>
  </si>
  <si>
    <t>NÚM ASIGNADO</t>
  </si>
  <si>
    <t>MARCA</t>
  </si>
  <si>
    <t>MODELO</t>
  </si>
  <si>
    <t>IMEI</t>
  </si>
  <si>
    <t>SN DEL CELULAR</t>
  </si>
  <si>
    <t>ALMACENAMIENTO</t>
  </si>
  <si>
    <t>MARCA CARGADOR</t>
  </si>
  <si>
    <t>MODELO CARGADOR</t>
  </si>
  <si>
    <t>SN CARGADOR</t>
  </si>
  <si>
    <t>FECHA DE COMPRA CEL</t>
  </si>
  <si>
    <t>FECHA DE ASIGNACIÓN</t>
  </si>
  <si>
    <t>OPERADOR</t>
  </si>
  <si>
    <t>PLAN TELEFÓNICO</t>
  </si>
  <si>
    <t>MDM</t>
  </si>
  <si>
    <t>ETRACK</t>
  </si>
  <si>
    <t>SAMSUNG</t>
  </si>
  <si>
    <t>GALAXY A31</t>
  </si>
  <si>
    <t>R58NB4ERDVP</t>
  </si>
  <si>
    <t>128 GB</t>
  </si>
  <si>
    <t>HOCO</t>
  </si>
  <si>
    <t>CS13</t>
  </si>
  <si>
    <t>CLARO</t>
  </si>
  <si>
    <t>MAX NEGOCIOS + 55.90</t>
  </si>
  <si>
    <t>NO</t>
  </si>
  <si>
    <t>GALAXY A14</t>
  </si>
  <si>
    <t>R5CW30EH0EM</t>
  </si>
  <si>
    <t>N-23C</t>
  </si>
  <si>
    <t>R5CW30EMEWW</t>
  </si>
  <si>
    <t>C110</t>
  </si>
  <si>
    <t>N-22L</t>
  </si>
  <si>
    <t>R5CW30EMABZ</t>
  </si>
  <si>
    <t>SI</t>
  </si>
  <si>
    <t>GALAXY S22 ULTRA</t>
  </si>
  <si>
    <t>R5CT409F3QL</t>
  </si>
  <si>
    <t>GALAXY A15</t>
  </si>
  <si>
    <t>RF8XA043EGF</t>
  </si>
  <si>
    <t>APPLE</t>
  </si>
  <si>
    <t>IPHONE 13 MINI</t>
  </si>
  <si>
    <t>VV7H9JHHWC</t>
  </si>
  <si>
    <t>ENTEL</t>
  </si>
  <si>
    <t>PLAN ENTEL - 109.90</t>
  </si>
  <si>
    <t>GALAXY A34</t>
  </si>
  <si>
    <t>RFCW60YZLXD</t>
  </si>
  <si>
    <t>MAX NEGOCIOS + ILIMITADO 69.90</t>
  </si>
  <si>
    <t>ANGELO HUAMAN</t>
  </si>
  <si>
    <t>R5CW81PDKZL</t>
  </si>
  <si>
    <t>GALAXY A16</t>
  </si>
  <si>
    <t>RF8Y80D2A2Y</t>
  </si>
  <si>
    <t>GALAXY A26 5G</t>
  </si>
  <si>
    <t>R5CY83W5FSZ</t>
  </si>
  <si>
    <t>GALAXY A24</t>
  </si>
  <si>
    <t>RF8Y806QP1N</t>
  </si>
  <si>
    <t>R5CW30EJ7CZ</t>
  </si>
  <si>
    <t>RF8Y50GDF8M</t>
  </si>
  <si>
    <t>R58NB4EQ0JN</t>
  </si>
  <si>
    <t>LÍNEA PERSONAL</t>
  </si>
  <si>
    <t>IPHONE 15</t>
  </si>
  <si>
    <t>DJY5FKG3JJ</t>
  </si>
  <si>
    <t>LÍNEA TELEFÓNICA PERSONAL</t>
  </si>
  <si>
    <t>RF8X20CXRSX</t>
  </si>
  <si>
    <t>R58W60Y34WM</t>
  </si>
  <si>
    <t>EQUIPO PERSONAL</t>
  </si>
  <si>
    <t>R58W60Y3Q0Z</t>
  </si>
  <si>
    <t>RF8XA043XHZ</t>
  </si>
  <si>
    <t>R5CW81PDL0E</t>
  </si>
  <si>
    <t>GALAXY A22</t>
  </si>
  <si>
    <t>R9WT40VKDDT</t>
  </si>
  <si>
    <t>RF8Y80D3XYP</t>
  </si>
  <si>
    <t>RF8Y710QWMZ</t>
  </si>
  <si>
    <t>256 GB</t>
  </si>
  <si>
    <t>C113</t>
  </si>
  <si>
    <t>N-24C</t>
  </si>
  <si>
    <t>R5CW81PF3KY</t>
  </si>
  <si>
    <t>RF8XA02JFT</t>
  </si>
  <si>
    <t>GALAXY A35</t>
  </si>
  <si>
    <t>RFCX91E8LZE</t>
  </si>
  <si>
    <t>R58W60MMEXD</t>
  </si>
  <si>
    <t>RF8Y80D3R1X</t>
  </si>
  <si>
    <t>GALAXY A32</t>
  </si>
  <si>
    <t>R58R60ACRZY</t>
  </si>
  <si>
    <t>RF8X108YD3N</t>
  </si>
  <si>
    <t>R58X71A2HGN</t>
  </si>
  <si>
    <t>RF8R704SZ1J</t>
  </si>
  <si>
    <t>R5CW523RRGY</t>
  </si>
  <si>
    <t>GALAXY A23</t>
  </si>
  <si>
    <t>R58TB0Z716A</t>
  </si>
  <si>
    <t>R58W60Y3CSR</t>
  </si>
  <si>
    <t>FACTURACIÓN CD (ANTHONY ACEVEDO)</t>
  </si>
  <si>
    <t>RF8R704DM0H</t>
  </si>
  <si>
    <t>IPHONE 15 PRO MAX</t>
  </si>
  <si>
    <t>DW1VMQWF16</t>
  </si>
  <si>
    <t>PLAN ENTEL - 152.90</t>
  </si>
  <si>
    <t>R58W60Y3HPE</t>
  </si>
  <si>
    <t>A26 5G</t>
  </si>
  <si>
    <t>357524760028306 / 358073710028304</t>
  </si>
  <si>
    <t>RZGL11BB0JM</t>
  </si>
  <si>
    <t>RF8Y710PR3E</t>
  </si>
  <si>
    <t>558Y10C18NK</t>
  </si>
  <si>
    <t>RF8Y50GD9ZK</t>
  </si>
  <si>
    <t>RF8X108Y97E</t>
  </si>
  <si>
    <t>R58WA05JB0K</t>
  </si>
  <si>
    <t>HUGO JUAREZ (CHRISTIAN BARDALES)</t>
  </si>
  <si>
    <t>R5CW30EMH9D</t>
  </si>
  <si>
    <t>IPHONE 15 PLUS</t>
  </si>
  <si>
    <t>MU0Y3BE/A</t>
  </si>
  <si>
    <t>R58W60Y3KVR</t>
  </si>
  <si>
    <t>IVAN GUTIERREZ (ISIDRO VALVERDE)</t>
  </si>
  <si>
    <t>GALAXY A13</t>
  </si>
  <si>
    <t>R58W10HKAFZ</t>
  </si>
  <si>
    <t>R9WT102R0XB</t>
  </si>
  <si>
    <t>R5CY83W4HQE</t>
  </si>
  <si>
    <t>RF8Y710PQTY</t>
  </si>
  <si>
    <t>R5CW525LNHY</t>
  </si>
  <si>
    <t>RF8XA0DNE2K</t>
  </si>
  <si>
    <t>RF8X90C9ZXD</t>
  </si>
  <si>
    <t>RF8Y710P4HJ</t>
  </si>
  <si>
    <t>R58W60Y3CQW</t>
  </si>
  <si>
    <t>R9WT20APGKN</t>
  </si>
  <si>
    <t>R58T40B5D6X</t>
  </si>
  <si>
    <t>64 GB</t>
  </si>
  <si>
    <t>RFCX91E5SKT</t>
  </si>
  <si>
    <t>PLAN ENTEL - 67.90</t>
  </si>
  <si>
    <t>R58NB2XCE7E</t>
  </si>
  <si>
    <t>GALAXY S25</t>
  </si>
  <si>
    <t>RFCY10L6VKD</t>
  </si>
  <si>
    <t>R58TC0CEKTY</t>
  </si>
  <si>
    <t>R5CW525NFTH</t>
  </si>
  <si>
    <t>R58NB4EREFJ</t>
  </si>
  <si>
    <t>R58Y10C1MLZ</t>
  </si>
  <si>
    <t>R58W60Y40TB</t>
  </si>
  <si>
    <t>R58NB4EQH9B</t>
  </si>
  <si>
    <t>R58W60Y357X</t>
  </si>
  <si>
    <t>R58Y10C2YDE</t>
  </si>
  <si>
    <t>R5CW50YYR0D</t>
  </si>
  <si>
    <t>RF8Y50GE6LR</t>
  </si>
  <si>
    <t>R58X71A0VYL</t>
  </si>
  <si>
    <t>RF8R704DHDL</t>
  </si>
  <si>
    <t>R58NB4ERACT</t>
  </si>
  <si>
    <t>R5CW81PDQ1J</t>
  </si>
  <si>
    <t>RF8X108YAPR</t>
  </si>
  <si>
    <t>HUAWEI</t>
  </si>
  <si>
    <t>P30</t>
  </si>
  <si>
    <t>JND0219827005309</t>
  </si>
  <si>
    <t>R58TC0FMFWF</t>
  </si>
  <si>
    <t>GALAXY S23 FE</t>
  </si>
  <si>
    <t>R5CWA07QH7M</t>
  </si>
  <si>
    <t>MAX NEGOCIOS + ILIMITADO 109.90</t>
  </si>
  <si>
    <t>MARCOS CHAVEZ</t>
  </si>
  <si>
    <t>RF8R704E2NH</t>
  </si>
  <si>
    <t>RF8XA0EP2DF</t>
  </si>
  <si>
    <t>RF8X108YC6D</t>
  </si>
  <si>
    <t>GALAXY A56 5G</t>
  </si>
  <si>
    <t>352010503008245 / 353508196008242</t>
  </si>
  <si>
    <t>R5GL123WBDZ</t>
  </si>
  <si>
    <t>RF8Y70RVJ1Y</t>
  </si>
  <si>
    <t>R58Y10C1DPH</t>
  </si>
  <si>
    <t>RF8XA042Z3N</t>
  </si>
  <si>
    <t>RF8R704DJ3Y</t>
  </si>
  <si>
    <t>R58Y10C28FL</t>
  </si>
  <si>
    <t>R58TA28BXYV</t>
  </si>
  <si>
    <t>RF8XA041EZB</t>
  </si>
  <si>
    <t>R5CW81PE1SR</t>
  </si>
  <si>
    <t>MOISES DIAZ (CONTROL DE STOCK)</t>
  </si>
  <si>
    <t>R9WT40TQ9PR</t>
  </si>
  <si>
    <t>R58NB4EQ2QN</t>
  </si>
  <si>
    <t>R58NB4EQGWL</t>
  </si>
  <si>
    <t>R58NB4EQ0HT</t>
  </si>
  <si>
    <t>R58W60WVQLP</t>
  </si>
  <si>
    <t>RF8R704T66F</t>
  </si>
  <si>
    <t>R58W60WW25A</t>
  </si>
  <si>
    <t>R58Y10C317K</t>
  </si>
  <si>
    <t>RF8X107MANJ</t>
  </si>
  <si>
    <t>REBECA FALCÓN</t>
  </si>
  <si>
    <t>R58W10HSM3P</t>
  </si>
  <si>
    <t>R58W60Y34ZN</t>
  </si>
  <si>
    <t>R58R60RYJBL</t>
  </si>
  <si>
    <t>R5CW81PETZJ</t>
  </si>
  <si>
    <t>R58T40FE2SK</t>
  </si>
  <si>
    <t>R58W60Y3S3N</t>
  </si>
  <si>
    <t>RF8X108Y8NY</t>
  </si>
  <si>
    <t>R58W60Y3PXH</t>
  </si>
  <si>
    <t>RF8YA08VQJL</t>
  </si>
  <si>
    <t>R58X71A01HB</t>
  </si>
  <si>
    <t>RF8XA042J7J</t>
  </si>
  <si>
    <t>RF8R704EW0T</t>
  </si>
  <si>
    <t>R58W60Y34RY</t>
  </si>
  <si>
    <t>R5CY907SHQD</t>
  </si>
  <si>
    <t>27/05/26</t>
  </si>
  <si>
    <t>R58X901L1NH</t>
  </si>
  <si>
    <t>GALAXY A56</t>
  </si>
  <si>
    <t>352010505995384 / 353508195995381</t>
  </si>
  <si>
    <t>R5GL123V5EK</t>
  </si>
  <si>
    <t>BJ-22K</t>
  </si>
  <si>
    <t>27/04/2026</t>
  </si>
  <si>
    <t>VIVIANA PINEDO</t>
  </si>
  <si>
    <t>RF8XA043B6X</t>
  </si>
  <si>
    <t>IPHONE 16 PLUS</t>
  </si>
  <si>
    <t>R58Y10C1BDX</t>
  </si>
  <si>
    <t>R58NB4EPW6T</t>
  </si>
  <si>
    <t>R5CW510FF2M</t>
  </si>
  <si>
    <t>RF8XA0427GD</t>
  </si>
  <si>
    <t>R58R60N098H</t>
  </si>
  <si>
    <t>RF8XA042YDD</t>
  </si>
  <si>
    <t>CELULAR PARA LÍNEA AL EXTERIOR</t>
  </si>
  <si>
    <t>RF8X901L0EN</t>
  </si>
  <si>
    <t>PRÉSTAMO - ENRIQUE HIDALGO</t>
  </si>
  <si>
    <t>RF8R704EJ1Z</t>
  </si>
  <si>
    <t>R9WT10HWYCT</t>
  </si>
  <si>
    <t>R58NB4EQBZN</t>
  </si>
  <si>
    <t>IPHONE 12</t>
  </si>
  <si>
    <t>JUAN MALLQUI</t>
  </si>
  <si>
    <t>JERRY SATALAYA</t>
  </si>
  <si>
    <t>IPHONE 12 PRO</t>
  </si>
  <si>
    <t>XIOMARA MIO</t>
  </si>
  <si>
    <t>CÓDIGO DE ACTIVO</t>
  </si>
  <si>
    <t>TIPO DE EQUIPO</t>
  </si>
  <si>
    <t>HOSTNAME</t>
  </si>
  <si>
    <t>SN</t>
  </si>
  <si>
    <t>PROCESADOR</t>
  </si>
  <si>
    <t>GEN PROCESADOR</t>
  </si>
  <si>
    <t>GHZ</t>
  </si>
  <si>
    <t>RAM</t>
  </si>
  <si>
    <t>DISCO DURO</t>
  </si>
  <si>
    <t>PANTALLA</t>
  </si>
  <si>
    <t>SO</t>
  </si>
  <si>
    <t>OFFICE</t>
  </si>
  <si>
    <t>SN - CT CARGADOR</t>
  </si>
  <si>
    <t>FECHA DE COMPRA</t>
  </si>
  <si>
    <t>3361111-086</t>
  </si>
  <si>
    <t xml:space="preserve">LP-ACHALLCO </t>
  </si>
  <si>
    <t>PROBOOK 450 G5</t>
  </si>
  <si>
    <t>5CD9232TZ7</t>
  </si>
  <si>
    <t>I7</t>
  </si>
  <si>
    <t>8550U</t>
  </si>
  <si>
    <t>512 SSD</t>
  </si>
  <si>
    <t>15.6"</t>
  </si>
  <si>
    <t>W11 PRO</t>
  </si>
  <si>
    <t>MICROSOFT 365 EMPRESA ESTÁNDAR</t>
  </si>
  <si>
    <t>HTSNN-CA40</t>
  </si>
  <si>
    <t>3361111-130</t>
  </si>
  <si>
    <t>LP-ALLUEN</t>
  </si>
  <si>
    <t>LENOVO</t>
  </si>
  <si>
    <t>THINKPAD T15 GEN 2</t>
  </si>
  <si>
    <t>PF38WFVF</t>
  </si>
  <si>
    <t>1165G7</t>
  </si>
  <si>
    <t>2.80 GHz</t>
  </si>
  <si>
    <t>1 TB SSD</t>
  </si>
  <si>
    <t>ADLX65YLC2D</t>
  </si>
  <si>
    <t>8SSA10R16920L1CZ21T060E</t>
  </si>
  <si>
    <t>3361111-160</t>
  </si>
  <si>
    <t>LP-ACUBAS</t>
  </si>
  <si>
    <t>THINKPAD E15 GEN 2</t>
  </si>
  <si>
    <t>PF3X8B7E</t>
  </si>
  <si>
    <t>I5</t>
  </si>
  <si>
    <t xml:space="preserve">1135G7 </t>
  </si>
  <si>
    <t>2.40GHz</t>
  </si>
  <si>
    <t>ADLX65YCC2D</t>
  </si>
  <si>
    <t>8SSA10R16922C2TJ24D06FG</t>
  </si>
  <si>
    <t>3361111-076</t>
  </si>
  <si>
    <t>ALONSO BARRANZUELA</t>
  </si>
  <si>
    <t>LP-ESCANEOCD</t>
  </si>
  <si>
    <t>5CD90163XM</t>
  </si>
  <si>
    <t>PPP009D</t>
  </si>
  <si>
    <t>LA0723032302AD12171</t>
  </si>
  <si>
    <t>3361111-226</t>
  </si>
  <si>
    <t>LP-AMALCA</t>
  </si>
  <si>
    <t>240 G10</t>
  </si>
  <si>
    <t>5CG4194N9Q</t>
  </si>
  <si>
    <t xml:space="preserve">1355U </t>
  </si>
  <si>
    <t>1.70GHz</t>
  </si>
  <si>
    <t>14"</t>
  </si>
  <si>
    <t>MICROSOFT 365 EMPRESA BÁSICO</t>
  </si>
  <si>
    <t>TPN-DA16</t>
  </si>
  <si>
    <t>WHHWK0CDDJA9OX</t>
  </si>
  <si>
    <t>3361111-291</t>
  </si>
  <si>
    <t>ANAÍS ALBURQUEQUE</t>
  </si>
  <si>
    <t>LP-AALBURQUEQUE</t>
  </si>
  <si>
    <t>THINKPAD T16 GEN 4</t>
  </si>
  <si>
    <t>PF62YHBM</t>
  </si>
  <si>
    <t>ULTRA 7</t>
  </si>
  <si>
    <t>255U</t>
  </si>
  <si>
    <t>16"</t>
  </si>
  <si>
    <t>ADL100YLC3A</t>
  </si>
  <si>
    <t>8SGX21J75543L1CZ5861PFS</t>
  </si>
  <si>
    <t>22/04/2026</t>
  </si>
  <si>
    <t>27/04/26</t>
  </si>
  <si>
    <t>3361111-123</t>
  </si>
  <si>
    <t>LP-CDPICKING</t>
  </si>
  <si>
    <t>PROBOOK 450 G7</t>
  </si>
  <si>
    <t>5CD113D1W4</t>
  </si>
  <si>
    <t>10210U</t>
  </si>
  <si>
    <t>HSTNN-CA40</t>
  </si>
  <si>
    <t>WFTKU0EVKATKNZ</t>
  </si>
  <si>
    <t>3361111-261</t>
  </si>
  <si>
    <t>LP-AYATACO</t>
  </si>
  <si>
    <t>PROBOOK 460 G11</t>
  </si>
  <si>
    <t>1H84460LFG</t>
  </si>
  <si>
    <t>155U</t>
  </si>
  <si>
    <t>TPN-LA19</t>
  </si>
  <si>
    <t>WHRRF0A1RJ8THZ</t>
  </si>
  <si>
    <t>3361111-267</t>
  </si>
  <si>
    <t>LP-AARISPE</t>
  </si>
  <si>
    <t>PROBOOK 440 G11</t>
  </si>
  <si>
    <t>5CD5016RSF</t>
  </si>
  <si>
    <t>WHRRF0A7YK9H18</t>
  </si>
  <si>
    <t>3361111-215</t>
  </si>
  <si>
    <t>LP-ASOTERO</t>
  </si>
  <si>
    <t>PROBOOK 440 G10</t>
  </si>
  <si>
    <t>5CD4075FNT</t>
  </si>
  <si>
    <t>1335U</t>
  </si>
  <si>
    <t>TPN-CA14</t>
  </si>
  <si>
    <t>WHGRE0EV2ISMQK0E</t>
  </si>
  <si>
    <t>3361111-172</t>
  </si>
  <si>
    <t>LP-AHUAMAN</t>
  </si>
  <si>
    <t>14-DQ2510LA</t>
  </si>
  <si>
    <t>5CD225BBD9</t>
  </si>
  <si>
    <t>I3</t>
  </si>
  <si>
    <t xml:space="preserve">1115G4 </t>
  </si>
  <si>
    <t>WHGRE0C3GGN0P70C</t>
  </si>
  <si>
    <t>3361111-149</t>
  </si>
  <si>
    <t>LP-ASORIA</t>
  </si>
  <si>
    <t>PROBOOK 440 G8</t>
  </si>
  <si>
    <t>5CD208604S</t>
  </si>
  <si>
    <t>WHHWK0CM1G67JW</t>
  </si>
  <si>
    <t>3361111-126</t>
  </si>
  <si>
    <t>LP-ESCANEADOREFAX</t>
  </si>
  <si>
    <t>250 G8</t>
  </si>
  <si>
    <t>CND1293GSY</t>
  </si>
  <si>
    <t xml:space="preserve">1035G1 </t>
  </si>
  <si>
    <t>TPN-LA16</t>
  </si>
  <si>
    <t>WHHRF0A3UEJ8SA</t>
  </si>
  <si>
    <t>3361111-265</t>
  </si>
  <si>
    <t>LP-AVARGAS</t>
  </si>
  <si>
    <t>ELITEBOOK 660 G11</t>
  </si>
  <si>
    <t>1H844628PT</t>
  </si>
  <si>
    <t>TPN-DA20</t>
  </si>
  <si>
    <t>WJEKH0CCXJT0EO</t>
  </si>
  <si>
    <t>3361111-038</t>
  </si>
  <si>
    <t>LP-AVARGAS2</t>
  </si>
  <si>
    <t>15-AX002LA</t>
  </si>
  <si>
    <t>5CD7051SR5</t>
  </si>
  <si>
    <t xml:space="preserve">6700HQ </t>
  </si>
  <si>
    <t>HSTNN-DA25</t>
  </si>
  <si>
    <t>WDRLD0DAR540SG</t>
  </si>
  <si>
    <t>PC-B2B1</t>
  </si>
  <si>
    <t>THINKCENTRE M710S 10M8</t>
  </si>
  <si>
    <t>MJ05PGW2</t>
  </si>
  <si>
    <t>500 SSD</t>
  </si>
  <si>
    <t>PC-B2B2</t>
  </si>
  <si>
    <t>MJ05PGW6</t>
  </si>
  <si>
    <t>BODEGA BSF</t>
  </si>
  <si>
    <t>LP-PRUEBASTIPH</t>
  </si>
  <si>
    <t>CND1293GJX</t>
  </si>
  <si>
    <t>W10 PRO</t>
  </si>
  <si>
    <t>WHHRF0A4LEP01H</t>
  </si>
  <si>
    <t>3361111-092</t>
  </si>
  <si>
    <t>BK_BSF2</t>
  </si>
  <si>
    <t>DELL</t>
  </si>
  <si>
    <t>LATITUDE 3500</t>
  </si>
  <si>
    <t>C8RDVZ2</t>
  </si>
  <si>
    <t>8565U</t>
  </si>
  <si>
    <t>LA65NM130</t>
  </si>
  <si>
    <t>CN-0M1WCF-CH200-UCM-BPFY-A01W-FW:V03</t>
  </si>
  <si>
    <t>3361111-050</t>
  </si>
  <si>
    <t>BK_BSF3</t>
  </si>
  <si>
    <t>THINKPAD E570</t>
  </si>
  <si>
    <t>PF0G8L2K</t>
  </si>
  <si>
    <t>7500U</t>
  </si>
  <si>
    <t>ADLX65NCC3A</t>
  </si>
  <si>
    <t>3361111-057</t>
  </si>
  <si>
    <t>LP-BACKUPBSF</t>
  </si>
  <si>
    <t>V330-15IKB</t>
  </si>
  <si>
    <t>R90SK22E</t>
  </si>
  <si>
    <t>8250U</t>
  </si>
  <si>
    <t>ADLX65NCT3A</t>
  </si>
  <si>
    <t>11S36200292Z1Z1003JAVDF</t>
  </si>
  <si>
    <t>3361111-198</t>
  </si>
  <si>
    <t>LP-CAGUIRRE</t>
  </si>
  <si>
    <t>240 G9</t>
  </si>
  <si>
    <t>5CG31047SH</t>
  </si>
  <si>
    <t>1235U</t>
  </si>
  <si>
    <t>WHGRE0CNJHLXLP</t>
  </si>
  <si>
    <t>3361111-112</t>
  </si>
  <si>
    <t>LP-CBARRANTES</t>
  </si>
  <si>
    <t>5CD116BLC6</t>
  </si>
  <si>
    <t xml:space="preserve">1165G7 </t>
  </si>
  <si>
    <t>HSTNN-LA40</t>
  </si>
  <si>
    <t>WDUUV0B4L8JQT</t>
  </si>
  <si>
    <t>3361111-181</t>
  </si>
  <si>
    <t>LP-CSANDOVAL</t>
  </si>
  <si>
    <t>PROBOOK 440 G9</t>
  </si>
  <si>
    <t>5CD319FWMD</t>
  </si>
  <si>
    <t xml:space="preserve">1235U </t>
  </si>
  <si>
    <t>WHHWK0CARHW5BT</t>
  </si>
  <si>
    <t>3361111-129</t>
  </si>
  <si>
    <t>LP-CPHILIPPS</t>
  </si>
  <si>
    <t>348 G7</t>
  </si>
  <si>
    <t>5CG11701BC</t>
  </si>
  <si>
    <t>10110U</t>
  </si>
  <si>
    <t>TPN-CA16</t>
  </si>
  <si>
    <t>WHGRH0CGCF02I90C</t>
  </si>
  <si>
    <t>3361111-189</t>
  </si>
  <si>
    <t>LP-CRAMIREZ</t>
  </si>
  <si>
    <t>THINKPAD T16 GEN 2</t>
  </si>
  <si>
    <t>PF3RSBRQ</t>
  </si>
  <si>
    <t>ADLX65YSDC2A</t>
  </si>
  <si>
    <t>8SSA10R16984D1SG37406BA</t>
  </si>
  <si>
    <t>3361111-245</t>
  </si>
  <si>
    <t>LP-CABREGU</t>
  </si>
  <si>
    <t>5CD4298SDD</t>
  </si>
  <si>
    <t>TPN-LA15</t>
  </si>
  <si>
    <t>WHHRE0A4LJL6KX</t>
  </si>
  <si>
    <t>3361111-174</t>
  </si>
  <si>
    <t>LP-CCARRASCO</t>
  </si>
  <si>
    <t>5CD225BCDP</t>
  </si>
  <si>
    <t>1115G4</t>
  </si>
  <si>
    <t>WHGRE0CGCGFC1R</t>
  </si>
  <si>
    <t>3361111-236</t>
  </si>
  <si>
    <t>LP-BI2</t>
  </si>
  <si>
    <t>PROBOOK 450 G10</t>
  </si>
  <si>
    <t>5CD419CKSK</t>
  </si>
  <si>
    <t>WHHWK0CCXJ9374</t>
  </si>
  <si>
    <t>3361111-283</t>
  </si>
  <si>
    <t>LP-CAREVALO</t>
  </si>
  <si>
    <t>THINKPAD E16 GEN 3</t>
  </si>
  <si>
    <t>PF5YYEJJ</t>
  </si>
  <si>
    <t>255H</t>
  </si>
  <si>
    <t>ADLX65YDC2E</t>
  </si>
  <si>
    <t>8SGX21J75554D1SG5991C2W</t>
  </si>
  <si>
    <t>3361111-196</t>
  </si>
  <si>
    <t>LP-CRUIZ</t>
  </si>
  <si>
    <t>5CG3104JML</t>
  </si>
  <si>
    <t>PPP0090</t>
  </si>
  <si>
    <t>WCNXC0AAR3P1 IP</t>
  </si>
  <si>
    <t>3361111-262</t>
  </si>
  <si>
    <t>LP-CDIAZ</t>
  </si>
  <si>
    <t>1H84460L9G</t>
  </si>
  <si>
    <t>WHRRF0A1RJ8N18</t>
  </si>
  <si>
    <t>3361111-116</t>
  </si>
  <si>
    <t>LP-JESTRADA</t>
  </si>
  <si>
    <t>5CD1178WVS</t>
  </si>
  <si>
    <t xml:space="preserve">10510U </t>
  </si>
  <si>
    <t>WDUUV0B4L9YGLL</t>
  </si>
  <si>
    <t>3361111-255</t>
  </si>
  <si>
    <t>LP-DROJAS</t>
  </si>
  <si>
    <t>5CD4298SF2</t>
  </si>
  <si>
    <t>WHHRE0A4LJL6KA</t>
  </si>
  <si>
    <t>3361111-166</t>
  </si>
  <si>
    <t>LP-DSERQUEN</t>
  </si>
  <si>
    <t>PF3WPT17</t>
  </si>
  <si>
    <t>8SSA10R16920L1CZ241053E</t>
  </si>
  <si>
    <t>3361111-285</t>
  </si>
  <si>
    <t>LP-DCAMACHO</t>
  </si>
  <si>
    <t>PF5MGCW5</t>
  </si>
  <si>
    <t>ULTRA 5</t>
  </si>
  <si>
    <t>225U</t>
  </si>
  <si>
    <t>8SGX21J75551L1CZ56E0BK3</t>
  </si>
  <si>
    <t>3361111-280</t>
  </si>
  <si>
    <t>LP-DGONIA</t>
  </si>
  <si>
    <t>5CD5029XKD</t>
  </si>
  <si>
    <t>TPN-CA20</t>
  </si>
  <si>
    <t>WHRRH0GXPK80J00G</t>
  </si>
  <si>
    <t>3361111-254</t>
  </si>
  <si>
    <t>LP-DBROGGI</t>
  </si>
  <si>
    <t>5CD42963GT</t>
  </si>
  <si>
    <t>WHHRE0A1RJK0QN</t>
  </si>
  <si>
    <t>3361111-281</t>
  </si>
  <si>
    <t>LP-DHERNANDEZ</t>
  </si>
  <si>
    <t>1H85273GD8</t>
  </si>
  <si>
    <t>WTYLE0A3JKZF9F0A</t>
  </si>
  <si>
    <t>3361111-274</t>
  </si>
  <si>
    <t>LP-DALCA</t>
  </si>
  <si>
    <t>THINKPAD E14 GEN 6</t>
  </si>
  <si>
    <t>SPF58ANDC</t>
  </si>
  <si>
    <t>155H</t>
  </si>
  <si>
    <t>8SGX21J75554D1SG4AX3FCB</t>
  </si>
  <si>
    <t>3361111-230</t>
  </si>
  <si>
    <t>LP-DPARDO</t>
  </si>
  <si>
    <t>5CG4194NF6</t>
  </si>
  <si>
    <t>WHHWK0CDDJA9NM</t>
  </si>
  <si>
    <t>3361111-222</t>
  </si>
  <si>
    <t>LP-EALBARRAN</t>
  </si>
  <si>
    <t>5CD333KXMN</t>
  </si>
  <si>
    <t>WHGRE0DV3IBGTK</t>
  </si>
  <si>
    <t>3361111-085</t>
  </si>
  <si>
    <t>LP-EACHATA</t>
  </si>
  <si>
    <t>FUJITSU</t>
  </si>
  <si>
    <t>LIFEBOOK E547</t>
  </si>
  <si>
    <t>DS1L006913</t>
  </si>
  <si>
    <t>ADP-65MD B</t>
  </si>
  <si>
    <t>17903147E</t>
  </si>
  <si>
    <t>3361111-179</t>
  </si>
  <si>
    <t>LP-EMARTINEZ</t>
  </si>
  <si>
    <t>240 G8</t>
  </si>
  <si>
    <t>5CG1412RQW</t>
  </si>
  <si>
    <t>1005G1</t>
  </si>
  <si>
    <t>WHGRE0CNJFNOBC0C</t>
  </si>
  <si>
    <t>PC-EMARTINEZ</t>
  </si>
  <si>
    <t>PRODESK 400 G5 SFF</t>
  </si>
  <si>
    <t>MXL91249H0</t>
  </si>
  <si>
    <t>3361111-161</t>
  </si>
  <si>
    <t>LP-ETIZA</t>
  </si>
  <si>
    <t>PF3WS1HW</t>
  </si>
  <si>
    <t>8SSA10R16922C2TJ2410D3G</t>
  </si>
  <si>
    <t>3361111-221</t>
  </si>
  <si>
    <t>LP-EAPAZA</t>
  </si>
  <si>
    <t>5CD333KXQY</t>
  </si>
  <si>
    <t>WHGRE0DVKICECX</t>
  </si>
  <si>
    <t>3361111-238</t>
  </si>
  <si>
    <t>LP-EHIDALGO</t>
  </si>
  <si>
    <t>250 G10</t>
  </si>
  <si>
    <t>1H84180KD8</t>
  </si>
  <si>
    <t>WHHWK0CM1J89PE</t>
  </si>
  <si>
    <t>3361111-170</t>
  </si>
  <si>
    <t>LP-MMORI</t>
  </si>
  <si>
    <t>5CD225BBDB</t>
  </si>
  <si>
    <t>WHGRE0C3GGN0QB</t>
  </si>
  <si>
    <t>LP-FAPARICIO</t>
  </si>
  <si>
    <t>5CD113D1P1</t>
  </si>
  <si>
    <t>WHHRE0A5REVITY</t>
  </si>
  <si>
    <t>3361111-257</t>
  </si>
  <si>
    <t>LP-FLAURENTE</t>
  </si>
  <si>
    <t>1H84460LKK</t>
  </si>
  <si>
    <t>WHRRF0A1RJ8MU2</t>
  </si>
  <si>
    <t>3361111-294</t>
  </si>
  <si>
    <t>LP-FYACTAYO</t>
  </si>
  <si>
    <t>THINKPAD E14 GEN 3</t>
  </si>
  <si>
    <t>PF5MD5F8</t>
  </si>
  <si>
    <t>8SGX21J75554D1SG57F0992</t>
  </si>
  <si>
    <t>3361111-271</t>
  </si>
  <si>
    <t>LP-FOTERO</t>
  </si>
  <si>
    <t>THINKPAD X1 CARBON GEN 12</t>
  </si>
  <si>
    <t>PF5KGZBH</t>
  </si>
  <si>
    <t>8SSA10R16922C2TJ</t>
  </si>
  <si>
    <t>3361111-195</t>
  </si>
  <si>
    <t>LP-GANAZCO</t>
  </si>
  <si>
    <t>5CG31047R8</t>
  </si>
  <si>
    <t>TPN-CA01</t>
  </si>
  <si>
    <t>WDUUV0B4L8IFP</t>
  </si>
  <si>
    <t>3361111-209</t>
  </si>
  <si>
    <t>LP-GAPOLINARIO</t>
  </si>
  <si>
    <t>5CG3151PT</t>
  </si>
  <si>
    <t>WHHRE0A3UHHI1D</t>
  </si>
  <si>
    <t>3361111-239</t>
  </si>
  <si>
    <t>LP-GSOLLER</t>
  </si>
  <si>
    <t>1H84180KK9</t>
  </si>
  <si>
    <t>WHHWK0CM1J88FV</t>
  </si>
  <si>
    <t>3361111-197</t>
  </si>
  <si>
    <t>LP-GMALCA</t>
  </si>
  <si>
    <t>5CG3104PRG</t>
  </si>
  <si>
    <t>WHGRE0CNJHLXVJ</t>
  </si>
  <si>
    <t>3361111-234</t>
  </si>
  <si>
    <t>LP-GBUSTOS</t>
  </si>
  <si>
    <t>PF505YY6</t>
  </si>
  <si>
    <t xml:space="preserve">165U </t>
  </si>
  <si>
    <t>ADLX65YAC2E</t>
  </si>
  <si>
    <t>8SGX21J75553A1WH47P2985</t>
  </si>
  <si>
    <t>3361111-233</t>
  </si>
  <si>
    <t>LP-GNAVA</t>
  </si>
  <si>
    <t>5CG4194NB5</t>
  </si>
  <si>
    <t>WHHWK0CCXJAB6W</t>
  </si>
  <si>
    <t>3361111-253</t>
  </si>
  <si>
    <t>LP-HEJUAREZ</t>
  </si>
  <si>
    <t>5CD4298S9W</t>
  </si>
  <si>
    <t>WHHRE0A4LJL62P</t>
  </si>
  <si>
    <t>LP-ATECBODEGA</t>
  </si>
  <si>
    <t>250 G7</t>
  </si>
  <si>
    <t>CND0284RTY</t>
  </si>
  <si>
    <t>WHHRF0A1RDSBTN</t>
  </si>
  <si>
    <t>3361111-095</t>
  </si>
  <si>
    <t>LP-RTBODEGA</t>
  </si>
  <si>
    <t>CND0295TQM</t>
  </si>
  <si>
    <t>1065G7</t>
  </si>
  <si>
    <t>WHGRH0AGCDWKHZ</t>
  </si>
  <si>
    <t>3361111-287</t>
  </si>
  <si>
    <t>LP-HJUAREZ</t>
  </si>
  <si>
    <t>PF5MGCP4</t>
  </si>
  <si>
    <t>8SGX21J75554D1SG57F072X</t>
  </si>
  <si>
    <t>3361111-164</t>
  </si>
  <si>
    <t>LP-HVILLAFUERTE</t>
  </si>
  <si>
    <t>THINKPAD E14 GEN 2</t>
  </si>
  <si>
    <t>PF3WZFAC</t>
  </si>
  <si>
    <t>8SSA10R16922C2TJ241S7S</t>
  </si>
  <si>
    <t>3361111-272</t>
  </si>
  <si>
    <t>LP-IGUTIERREZ</t>
  </si>
  <si>
    <t>5CD5016RNL</t>
  </si>
  <si>
    <t>125U</t>
  </si>
  <si>
    <t>WHRRF0A5RK9A7T</t>
  </si>
  <si>
    <t>3361111-243</t>
  </si>
  <si>
    <t>LP-JMOGOLLON</t>
  </si>
  <si>
    <t>5CD4298S6Q</t>
  </si>
  <si>
    <t>WHHRE0A4LJLNMT</t>
  </si>
  <si>
    <t>3361111-064</t>
  </si>
  <si>
    <t>LP-JSUEMATZU2</t>
  </si>
  <si>
    <t>DS1L006905</t>
  </si>
  <si>
    <t xml:space="preserve">7500U </t>
  </si>
  <si>
    <t>3361111-269</t>
  </si>
  <si>
    <t>LP-JSUEMATZU</t>
  </si>
  <si>
    <t>THINKPAD T16 GEN 3</t>
  </si>
  <si>
    <t>PF5LP6CF</t>
  </si>
  <si>
    <t>8SGX21J75543L1CZ5121970</t>
  </si>
  <si>
    <t>3361111-205</t>
  </si>
  <si>
    <t>LP-JZEGARRA</t>
  </si>
  <si>
    <t>5CG31050QZ</t>
  </si>
  <si>
    <t>WHQRN0A1REST4Q</t>
  </si>
  <si>
    <t>3361111-266</t>
  </si>
  <si>
    <t>LP-JMOSQUERA</t>
  </si>
  <si>
    <t>5CD5016RWS</t>
  </si>
  <si>
    <t>WHRRF0A5RK97DF</t>
  </si>
  <si>
    <t>3361111-115</t>
  </si>
  <si>
    <t>LP-JVILLAGARAY</t>
  </si>
  <si>
    <t>5CD117C34L</t>
  </si>
  <si>
    <t>10510U</t>
  </si>
  <si>
    <t>WHGRE0B3GEZ8NU0B</t>
  </si>
  <si>
    <t>3361111-169</t>
  </si>
  <si>
    <t>LP-JURIARTE</t>
  </si>
  <si>
    <t>5CD225BBDZ</t>
  </si>
  <si>
    <t>WHGRE0ADWDVKF9</t>
  </si>
  <si>
    <t>3361111-276</t>
  </si>
  <si>
    <t>LP-JHURTADO</t>
  </si>
  <si>
    <t>5CD5217C0N</t>
  </si>
  <si>
    <t>WHRRF0A1RKQI7D</t>
  </si>
  <si>
    <t>3361111-277</t>
  </si>
  <si>
    <t>LP-JIFLORES</t>
  </si>
  <si>
    <t>5CD5232DDS</t>
  </si>
  <si>
    <t>TPN-DA15</t>
  </si>
  <si>
    <t>WTYLF0A4XKB0EQ</t>
  </si>
  <si>
    <t>3361111-173</t>
  </si>
  <si>
    <t>LP-JGUTIERREZ</t>
  </si>
  <si>
    <t>5CD225BBD6</t>
  </si>
  <si>
    <t>WHGRE0CGCGFBSU</t>
  </si>
  <si>
    <t>3361111-134</t>
  </si>
  <si>
    <t>LP-JHERMOZA</t>
  </si>
  <si>
    <t>5CD204F84L</t>
  </si>
  <si>
    <t>WHHWK0CCXG4I1U</t>
  </si>
  <si>
    <t>3361111-278</t>
  </si>
  <si>
    <t>LP-JATOCHE</t>
  </si>
  <si>
    <t>THINKPAD E16 GEN 2</t>
  </si>
  <si>
    <t>PF5FTCSH</t>
  </si>
  <si>
    <t>8SGX21J75554D1SG4CC4EZ6</t>
  </si>
  <si>
    <t>3361111-216</t>
  </si>
  <si>
    <t>LP-JVACCARO</t>
  </si>
  <si>
    <t>THINKPAD P16 GEN 2</t>
  </si>
  <si>
    <t>PF5224PF</t>
  </si>
  <si>
    <t>I9</t>
  </si>
  <si>
    <t xml:space="preserve">13950HX </t>
  </si>
  <si>
    <t>ADL230SLC3A</t>
  </si>
  <si>
    <t>8SSA10R16889L1CZ39B0PPS</t>
  </si>
  <si>
    <t>3361111-232</t>
  </si>
  <si>
    <t>LP-JCARRERA</t>
  </si>
  <si>
    <t>5CG4194NFH</t>
  </si>
  <si>
    <t>WHHWK0CARJC4SG</t>
  </si>
  <si>
    <t>3361111-264</t>
  </si>
  <si>
    <t>LP-JMINAYA</t>
  </si>
  <si>
    <t>1H84460LLS</t>
  </si>
  <si>
    <t>WHRRF0A1RJ9MPK</t>
  </si>
  <si>
    <t>3361111-252</t>
  </si>
  <si>
    <t>LP-JTENORIO</t>
  </si>
  <si>
    <t>5CD4298S8T</t>
  </si>
  <si>
    <t>WHHRE0A4LJL5VB</t>
  </si>
  <si>
    <t>3361111-203</t>
  </si>
  <si>
    <t>LP-JVILA</t>
  </si>
  <si>
    <t>5CG310502L</t>
  </si>
  <si>
    <t>WHGRHODGCGX57E0D</t>
  </si>
  <si>
    <t>3361111-175</t>
  </si>
  <si>
    <t>LP-JCASTILLO</t>
  </si>
  <si>
    <t>5CD225BCDZ</t>
  </si>
  <si>
    <t>WHGRE0CGCGFEML</t>
  </si>
  <si>
    <t>3361111-150</t>
  </si>
  <si>
    <t>LP-JCUEVA</t>
  </si>
  <si>
    <t>PF35WM28</t>
  </si>
  <si>
    <t>ADLX65YDC2D</t>
  </si>
  <si>
    <t>8SSA10R16918D1SG1890JFM</t>
  </si>
  <si>
    <t>3361111-206</t>
  </si>
  <si>
    <t>LP-JPEREZ</t>
  </si>
  <si>
    <t>5CG310525T</t>
  </si>
  <si>
    <t>WDUUV0B4L8IIW</t>
  </si>
  <si>
    <t>3361111-192</t>
  </si>
  <si>
    <t>LP-JRUIZ</t>
  </si>
  <si>
    <t>5CG3104L31</t>
  </si>
  <si>
    <t>WHHRE0A5REVITS</t>
  </si>
  <si>
    <t>3361111-231</t>
  </si>
  <si>
    <t>LP-JBOTTON</t>
  </si>
  <si>
    <t>5CG4194NDW</t>
  </si>
  <si>
    <t>WHHWK0CCXJAAOL</t>
  </si>
  <si>
    <t>3361111-242</t>
  </si>
  <si>
    <t>LP-JCAVERO</t>
  </si>
  <si>
    <t>5CD4298S7C</t>
  </si>
  <si>
    <t>WHHRE0A4LJL6MF</t>
  </si>
  <si>
    <t>3361111-128</t>
  </si>
  <si>
    <t>LP-JULLOA</t>
  </si>
  <si>
    <t>5CG11701BL</t>
  </si>
  <si>
    <t>WHGRH0CGCF09G9E</t>
  </si>
  <si>
    <t>PC-SUPDEVOL</t>
  </si>
  <si>
    <t>ELITEDESK 800 G3 SFF</t>
  </si>
  <si>
    <t>MXL7282BL7</t>
  </si>
  <si>
    <t>LP-DEVOLUCIONES</t>
  </si>
  <si>
    <t>5CD113D1WW</t>
  </si>
  <si>
    <t xml:space="preserve">10210U  </t>
  </si>
  <si>
    <t>WHHRE0A5REUI8U</t>
  </si>
  <si>
    <t>3361111-124</t>
  </si>
  <si>
    <t>ARREGLAR BISEL DE LAPTOP</t>
  </si>
  <si>
    <t>LP-KROJAS</t>
  </si>
  <si>
    <t>THINKPAD X1 CARBON</t>
  </si>
  <si>
    <t>PF1XM0YP</t>
  </si>
  <si>
    <t>10710U</t>
  </si>
  <si>
    <t>ADLX65YLC2A</t>
  </si>
  <si>
    <t>8SSA10M13948C1SG8AVCOW7</t>
  </si>
  <si>
    <t>3361111-227</t>
  </si>
  <si>
    <t>LP-KPEREZ</t>
  </si>
  <si>
    <t>5CG4194NBC</t>
  </si>
  <si>
    <t>WHHWK0CDDJA9OF</t>
  </si>
  <si>
    <t>3361111-244</t>
  </si>
  <si>
    <t>LP-KREYNA</t>
  </si>
  <si>
    <t>5CD4298SD9</t>
  </si>
  <si>
    <t>WHHRE0A3UJLYOL</t>
  </si>
  <si>
    <t>3361111-162</t>
  </si>
  <si>
    <t>LP-KDELBUENO</t>
  </si>
  <si>
    <t>THINKPAD E15 GEN2</t>
  </si>
  <si>
    <t>PF3X4SLJ</t>
  </si>
  <si>
    <t>1135G7</t>
  </si>
  <si>
    <t>8SSA10R16922C2TJ2410CFZ</t>
  </si>
  <si>
    <t>3227111-001</t>
  </si>
  <si>
    <t>LP-LSAER</t>
  </si>
  <si>
    <t>240 G6</t>
  </si>
  <si>
    <t>5CD8226V2Q</t>
  </si>
  <si>
    <t xml:space="preserve">7020U </t>
  </si>
  <si>
    <t>WCNXC0AAR3P4VH</t>
  </si>
  <si>
    <t>PC-LSAER</t>
  </si>
  <si>
    <t>PRODESK 400 G9 SFF</t>
  </si>
  <si>
    <t>4CE229BYDS</t>
  </si>
  <si>
    <t>3361111-177</t>
  </si>
  <si>
    <t>LP-LESTRELLA</t>
  </si>
  <si>
    <t>THINKPAD E14 GEN 4</t>
  </si>
  <si>
    <t>PF42S9MT</t>
  </si>
  <si>
    <t>1255U</t>
  </si>
  <si>
    <t>8SSA10R16922C2TJ26L0677</t>
  </si>
  <si>
    <t>3361111-220</t>
  </si>
  <si>
    <t>LP-MZAVALETA</t>
  </si>
  <si>
    <t>PF4T8VBG</t>
  </si>
  <si>
    <t>i7</t>
  </si>
  <si>
    <t>ADLX65YLC3D</t>
  </si>
  <si>
    <t>8SSA10R16872L1CZ177P8OD</t>
  </si>
  <si>
    <t>3361111-228</t>
  </si>
  <si>
    <t>LP-SOBREGON2</t>
  </si>
  <si>
    <t>5CG4194NBF</t>
  </si>
  <si>
    <t>WHHWK0CDDJCDYE</t>
  </si>
  <si>
    <t>3361111-259</t>
  </si>
  <si>
    <t>LP-MROMERO</t>
  </si>
  <si>
    <t>1H84460LG3</t>
  </si>
  <si>
    <t>WHRRF0A1RJ8MUE</t>
  </si>
  <si>
    <t>PC-MPLASENCIA</t>
  </si>
  <si>
    <t>4CE229BYQK</t>
  </si>
  <si>
    <t>3361111-096</t>
  </si>
  <si>
    <t>LP-MPLASENCIA</t>
  </si>
  <si>
    <t>CND0284RV6</t>
  </si>
  <si>
    <t>WHHRF0A1RDSBXL</t>
  </si>
  <si>
    <t>3361111-178</t>
  </si>
  <si>
    <t>LP-MVILLEGAS</t>
  </si>
  <si>
    <t>PF42SGG4</t>
  </si>
  <si>
    <t>8SSA10R16872L1CZ177P8PM</t>
  </si>
  <si>
    <t>3361111-247</t>
  </si>
  <si>
    <t>LP-MBARRERA</t>
  </si>
  <si>
    <t>5CD4298SD5</t>
  </si>
  <si>
    <t>WHHRE0A4LJLN2E</t>
  </si>
  <si>
    <t>3361111-286</t>
  </si>
  <si>
    <t>LP-MMALPARTIDA</t>
  </si>
  <si>
    <t>PF5MFPAW</t>
  </si>
  <si>
    <t>8SGX21J75554D1SG57805RZ</t>
  </si>
  <si>
    <t>LP-MSANTOS</t>
  </si>
  <si>
    <t>5CD8226TWS</t>
  </si>
  <si>
    <t>PC-MSANTOS</t>
  </si>
  <si>
    <t>4CE229BYGX</t>
  </si>
  <si>
    <t>3361111-260</t>
  </si>
  <si>
    <t>LP-MAPAZA</t>
  </si>
  <si>
    <t>1H84460LHV</t>
  </si>
  <si>
    <t>WHRRF0A1RJ8MTI</t>
  </si>
  <si>
    <t>LP-MVALLE</t>
  </si>
  <si>
    <t>CND1293GBY</t>
  </si>
  <si>
    <t>WHHRF0A3UEJB8M</t>
  </si>
  <si>
    <t>PC-MVALLE</t>
  </si>
  <si>
    <t>4CE229BYRC</t>
  </si>
  <si>
    <t>3361111-237</t>
  </si>
  <si>
    <t>LP-MROJAS</t>
  </si>
  <si>
    <t>5CD421L0KS</t>
  </si>
  <si>
    <t>1355U</t>
  </si>
  <si>
    <t>WHGRE0EXPJHT5C0E</t>
  </si>
  <si>
    <t>3361111-207</t>
  </si>
  <si>
    <t>LP-MGUTIERREZ</t>
  </si>
  <si>
    <t>5CG31050X4</t>
  </si>
  <si>
    <t>WHHRE0A3UHHFTR</t>
  </si>
  <si>
    <t>3361111-225</t>
  </si>
  <si>
    <t>LP-MPINEDA</t>
  </si>
  <si>
    <t>5CG4194NFN</t>
  </si>
  <si>
    <t>WHHWK0CDDJA9P4</t>
  </si>
  <si>
    <t>LP-CONTROLSTOCK</t>
  </si>
  <si>
    <t>CND1293GNZ</t>
  </si>
  <si>
    <t>WHHRF0A3UEOJCC</t>
  </si>
  <si>
    <t>3361111-184</t>
  </si>
  <si>
    <t>PENDIENTE DE CAMBIO DE CARCASA</t>
  </si>
  <si>
    <t>LP-MDIAZ</t>
  </si>
  <si>
    <t>THINKPAD E15 GEN 4</t>
  </si>
  <si>
    <t>PF429XT2</t>
  </si>
  <si>
    <t>8SSA10R16922C2TJ2680CBW</t>
  </si>
  <si>
    <t>3361111-191</t>
  </si>
  <si>
    <t>LP-NPRADO</t>
  </si>
  <si>
    <t>5CG3104J1T</t>
  </si>
  <si>
    <t>WHGRE0CNJHLXVG</t>
  </si>
  <si>
    <t>3361111-200</t>
  </si>
  <si>
    <t>LP-OMONGE</t>
  </si>
  <si>
    <t>5CG31051PV</t>
  </si>
  <si>
    <t>WHHRE0A3UHHG7G</t>
  </si>
  <si>
    <t>3361111-199</t>
  </si>
  <si>
    <t>LP-OCARDENAS</t>
  </si>
  <si>
    <t>5CG3103ZVP</t>
  </si>
  <si>
    <t>WCNXC0AAR3P1IP</t>
  </si>
  <si>
    <t>3361111-190</t>
  </si>
  <si>
    <t>LP-ODIAZ</t>
  </si>
  <si>
    <t>5CG3104LKF</t>
  </si>
  <si>
    <t>WHGRE0C3GHLFSG</t>
  </si>
  <si>
    <t>3361111-248</t>
  </si>
  <si>
    <t>LP-PSAAVEDRA</t>
  </si>
  <si>
    <t>5CD4298SF1</t>
  </si>
  <si>
    <t>WHHRE0A4LJL60W</t>
  </si>
  <si>
    <t>3361111-180</t>
  </si>
  <si>
    <t>LP-PPAYVA</t>
  </si>
  <si>
    <t>5CG1413TSW</t>
  </si>
  <si>
    <t>WHGRE0CZKFK4090C</t>
  </si>
  <si>
    <t>3361111-279</t>
  </si>
  <si>
    <t>LP-PBRAVO</t>
  </si>
  <si>
    <t>PF5CFDT8</t>
  </si>
  <si>
    <t>ADLX65YAC2D</t>
  </si>
  <si>
    <t>8SSA10R16962A1WH49K02JB</t>
  </si>
  <si>
    <t>3361111-214</t>
  </si>
  <si>
    <t>LP-RANYOSA</t>
  </si>
  <si>
    <t>1H840810D3</t>
  </si>
  <si>
    <t>WHGRE0ENJITF9M</t>
  </si>
  <si>
    <t>3361111-201</t>
  </si>
  <si>
    <t>REBECA FALCON</t>
  </si>
  <si>
    <t>LP-SHUAPAYA</t>
  </si>
  <si>
    <t>5CG3104ZS8</t>
  </si>
  <si>
    <t>WHHRE0A3UHHIPM</t>
  </si>
  <si>
    <t>3361111-208</t>
  </si>
  <si>
    <t>LP-RHUAMAN</t>
  </si>
  <si>
    <t>5CG31050YN</t>
  </si>
  <si>
    <t>WHHRE0A1RHHMRF</t>
  </si>
  <si>
    <t>3361111-258</t>
  </si>
  <si>
    <t>LP-RNURENA</t>
  </si>
  <si>
    <t>1H84460LM7</t>
  </si>
  <si>
    <t>WHRRF0A1RJ845M</t>
  </si>
  <si>
    <t>3361111-193</t>
  </si>
  <si>
    <t>LP-RINFANTES</t>
  </si>
  <si>
    <t>5CG3104QD8</t>
  </si>
  <si>
    <t>WHGRE0C3GHLFU60C</t>
  </si>
  <si>
    <t>LP-RSALAZAR</t>
  </si>
  <si>
    <t>CND0284RMX</t>
  </si>
  <si>
    <t>WHHRF0A1RDSBT8</t>
  </si>
  <si>
    <t>3361111-235</t>
  </si>
  <si>
    <t>LP-RCHUMBES</t>
  </si>
  <si>
    <t>5CG32841VQ</t>
  </si>
  <si>
    <t>WHHWK0CARI5UGP</t>
  </si>
  <si>
    <t>3361111-171</t>
  </si>
  <si>
    <t>LP-RRUIZ</t>
  </si>
  <si>
    <t>5CD225BB8J</t>
  </si>
  <si>
    <t>WHGRE0CGCGFBST</t>
  </si>
  <si>
    <t>3361111-109</t>
  </si>
  <si>
    <t>LP-RCARBAJAL</t>
  </si>
  <si>
    <t>VOSTRO 3400</t>
  </si>
  <si>
    <t>1T3ZVC3</t>
  </si>
  <si>
    <t>480 SSD</t>
  </si>
  <si>
    <t>DA45NM140</t>
  </si>
  <si>
    <t>CN-0YTFJC-DES00-0CT-HHCU-A08</t>
  </si>
  <si>
    <t>PC-RCARBAJAL</t>
  </si>
  <si>
    <t>4CE252B9MG</t>
  </si>
  <si>
    <t>3361111-273</t>
  </si>
  <si>
    <t>LP-SSOTO</t>
  </si>
  <si>
    <t>5CD5143GNR</t>
  </si>
  <si>
    <t>TPN-AA07</t>
  </si>
  <si>
    <t>WHRRK0IGMKI75X</t>
  </si>
  <si>
    <t>3361111-241</t>
  </si>
  <si>
    <t>LP-SJOAQUIN</t>
  </si>
  <si>
    <t>5CD4298S95</t>
  </si>
  <si>
    <t>WHHRE0A4LJL5VC</t>
  </si>
  <si>
    <t>3361111-088</t>
  </si>
  <si>
    <t>SEGURIDAD BSF</t>
  </si>
  <si>
    <t>LP-SEGURIDADBSF</t>
  </si>
  <si>
    <t>R90SFDFJ</t>
  </si>
  <si>
    <t xml:space="preserve">8550U </t>
  </si>
  <si>
    <t>ADLX90NLC3A</t>
  </si>
  <si>
    <t>11S36200296ZZ1002J8Z0L</t>
  </si>
  <si>
    <t>3361111-250</t>
  </si>
  <si>
    <t>LP-SCHOQUE</t>
  </si>
  <si>
    <t>5CD4298S5T</t>
  </si>
  <si>
    <t>WHHRE0A3UJL2TL</t>
  </si>
  <si>
    <t>3361111-204</t>
  </si>
  <si>
    <t>LP-SREVOLLEDO</t>
  </si>
  <si>
    <t>5CG31051VV</t>
  </si>
  <si>
    <t>WFTLC0A3U48G2K</t>
  </si>
  <si>
    <t>3361111-251</t>
  </si>
  <si>
    <t>LP-SOBREGON</t>
  </si>
  <si>
    <t>5CD4298SGF</t>
  </si>
  <si>
    <t>WHHRE0A4LJLN36</t>
  </si>
  <si>
    <t>3361111-117</t>
  </si>
  <si>
    <t>LP-PRUEBASTI</t>
  </si>
  <si>
    <t>5CD1178XFK</t>
  </si>
  <si>
    <t>PPP009L</t>
  </si>
  <si>
    <t>592C40CLLUAHVB</t>
  </si>
  <si>
    <t>3361111-293</t>
  </si>
  <si>
    <t>LP-ULECCA</t>
  </si>
  <si>
    <t>THINKPAD L16 GEN 2</t>
  </si>
  <si>
    <t>PW0LHSLM</t>
  </si>
  <si>
    <t>1.50 GHZ</t>
  </si>
  <si>
    <t>8SGX21J75554D1SG58P18BT</t>
  </si>
  <si>
    <t>3361111-224</t>
  </si>
  <si>
    <t>LP-VBECERRA</t>
  </si>
  <si>
    <t>5CG4194NBD</t>
  </si>
  <si>
    <t>WHHWK0CDDJA9OV</t>
  </si>
  <si>
    <t>3361111-290</t>
  </si>
  <si>
    <t>LP-VRUELAS</t>
  </si>
  <si>
    <t>PW0LHSMT</t>
  </si>
  <si>
    <t>8SGX21J75554D1SG58P1C2L</t>
  </si>
  <si>
    <t>3361111-120</t>
  </si>
  <si>
    <t>LP-JSATALAYA</t>
  </si>
  <si>
    <t>5CG125BSS4</t>
  </si>
  <si>
    <t>WHHRF0A3UF4C21</t>
  </si>
  <si>
    <t>3361111-165</t>
  </si>
  <si>
    <t>LP-VTORRES</t>
  </si>
  <si>
    <t>PF3WY6HL</t>
  </si>
  <si>
    <t>8SSA10R16922C2TJ2410E7G</t>
  </si>
  <si>
    <t>LP-VPINEDO</t>
  </si>
  <si>
    <t>THINKPAD T470</t>
  </si>
  <si>
    <t>PF0UL31R</t>
  </si>
  <si>
    <t xml:space="preserve">7200U </t>
  </si>
  <si>
    <t>557C65DLMF7685</t>
  </si>
  <si>
    <t>PC-VPINEDO</t>
  </si>
  <si>
    <t>4CE229BYRS</t>
  </si>
  <si>
    <t>3361111-213</t>
  </si>
  <si>
    <t>LP-WRUIZ</t>
  </si>
  <si>
    <t>ZBOOK FIREFLY G10</t>
  </si>
  <si>
    <t>5CG348732H</t>
  </si>
  <si>
    <t>WJEKH0CARIU870</t>
  </si>
  <si>
    <t>3361111-284</t>
  </si>
  <si>
    <t>LP-WMARTINEZ</t>
  </si>
  <si>
    <t>THINKPAD E14 GEN 7</t>
  </si>
  <si>
    <t>PF5RNE1V</t>
  </si>
  <si>
    <t>8SGX21J75554D1SG57M0JCE</t>
  </si>
  <si>
    <t>PC-INDICADORES</t>
  </si>
  <si>
    <t>ESPRIMO D556/2/E85+</t>
  </si>
  <si>
    <t>YMEB033704</t>
  </si>
  <si>
    <t>3361111-194</t>
  </si>
  <si>
    <t>LP-YMARIN</t>
  </si>
  <si>
    <t>5CG3104Q11</t>
  </si>
  <si>
    <t>WHGRE0CNJHLXM7</t>
  </si>
  <si>
    <t>3361111-229</t>
  </si>
  <si>
    <t>LP-YDELGADO</t>
  </si>
  <si>
    <t>5CG4194N9Y</t>
  </si>
  <si>
    <t>WHHWK0CCXJAAOI</t>
  </si>
  <si>
    <t>3361111-106</t>
  </si>
  <si>
    <t>LP-FYACTAYO2</t>
  </si>
  <si>
    <t>THINKPAD E15</t>
  </si>
  <si>
    <t>PF2LZHA5</t>
  </si>
  <si>
    <t>8SSA10R16873L1CZ0CA2A9J</t>
  </si>
  <si>
    <t>3361111-131</t>
  </si>
  <si>
    <t>LP-RPILLACA</t>
  </si>
  <si>
    <t>PROBOOK 450 G8</t>
  </si>
  <si>
    <t>5CD143GP4W</t>
  </si>
  <si>
    <t>WHGRE0CRLFTTM8</t>
  </si>
  <si>
    <t>3361111-167</t>
  </si>
  <si>
    <t>LP-JFERNANDEZ</t>
  </si>
  <si>
    <t>5CD225BBKC</t>
  </si>
  <si>
    <t>TPC-CA14</t>
  </si>
  <si>
    <t>WHGRE0BZKEK0QC</t>
  </si>
  <si>
    <t>3361111-268</t>
  </si>
  <si>
    <t>LP-PAGARCIA</t>
  </si>
  <si>
    <t>THINKPAD E16 GEN2</t>
  </si>
  <si>
    <t>PF5CQQQS</t>
  </si>
  <si>
    <t>8SGX21J75553A1WH49L0595</t>
  </si>
  <si>
    <t>3361111-240</t>
  </si>
  <si>
    <t>PRÉSTAMO - DENNIZ GONIA</t>
  </si>
  <si>
    <t>LP-AVARGAS3</t>
  </si>
  <si>
    <t>1H84180KJZ</t>
  </si>
  <si>
    <t>WHHWK0CM1J88FU</t>
  </si>
  <si>
    <t>3361111-152</t>
  </si>
  <si>
    <t>DARLINEE CAMACHO (PENDIENTE DE CAMBIO DE CARCASA)</t>
  </si>
  <si>
    <t>LP-DCAMACHO2</t>
  </si>
  <si>
    <t>PF3WN5Q1</t>
  </si>
  <si>
    <t>8SSA10R16873L1CZ24B0KWG</t>
  </si>
  <si>
    <t>3361111-103</t>
  </si>
  <si>
    <t>LP-INBOUNDCD2</t>
  </si>
  <si>
    <t>LATITUDE 3410</t>
  </si>
  <si>
    <t>DGFS963</t>
  </si>
  <si>
    <t>H65NS5-00</t>
  </si>
  <si>
    <t>CN-0G6J41-CH600-08O-0TPB-A08</t>
  </si>
  <si>
    <t>3361111-210</t>
  </si>
  <si>
    <t>PRÉSTAMO - JONATHAN VACCARO</t>
  </si>
  <si>
    <t>CRISTHIAN AREVALO (PENDIENTE CAMBIO DE VENTILADOR)</t>
  </si>
  <si>
    <t>LP-CAREVALO2</t>
  </si>
  <si>
    <t>PF4JMH2P</t>
  </si>
  <si>
    <t>ADLX65YSLC2A</t>
  </si>
  <si>
    <t>8SSA10R16985L1CZ34E052V</t>
  </si>
  <si>
    <t>PC-AQUEZADA</t>
  </si>
  <si>
    <t>4CE229BYVC</t>
  </si>
  <si>
    <t>3.00 GHz</t>
  </si>
  <si>
    <t>19/05/2026</t>
  </si>
  <si>
    <t>LP-AQUEZADA</t>
  </si>
  <si>
    <t>5CD8226VK5</t>
  </si>
  <si>
    <t>2.30 GHz</t>
  </si>
  <si>
    <t>WFTLC0A1RA3HHT</t>
  </si>
  <si>
    <t>3361111-132</t>
  </si>
  <si>
    <t>LP-JNAKAZAKI</t>
  </si>
  <si>
    <t>5CG1167ZNK</t>
  </si>
  <si>
    <t>WJEKF0BGCER6YF</t>
  </si>
  <si>
    <t>3361111-114</t>
  </si>
  <si>
    <t>LP-ESCANEOCD2</t>
  </si>
  <si>
    <t>PF2M9G54</t>
  </si>
  <si>
    <t>1.80 GHz</t>
  </si>
  <si>
    <t>8SSA10R16875C1SG116RHJP</t>
  </si>
  <si>
    <t>3361111-163</t>
  </si>
  <si>
    <t>FELIX YACTAYO (PENDIENTE DE CAMBIO DE CARCASA)</t>
  </si>
  <si>
    <t>PF3X3XR5</t>
  </si>
  <si>
    <t>8SSA10R16922C2TJ2410SDA</t>
  </si>
  <si>
    <t>3361111-176</t>
  </si>
  <si>
    <t>PRÉSTAMO - KATHERINEE ROJAS</t>
  </si>
  <si>
    <t>LP-KROJAS2</t>
  </si>
  <si>
    <t>PF49844K</t>
  </si>
  <si>
    <t>8SSA10R16922C2TJ28N0LLK</t>
  </si>
  <si>
    <t>PC-JVALENCIA</t>
  </si>
  <si>
    <t>MXL7281TFK</t>
  </si>
  <si>
    <t>3361111-292</t>
  </si>
  <si>
    <t>LAPTOP NUEVA</t>
  </si>
  <si>
    <t>PW0LHSM7</t>
  </si>
  <si>
    <t>CÓDIGO ACTIVO</t>
  </si>
  <si>
    <t>N° TELEFONO</t>
  </si>
  <si>
    <t>MARCA2</t>
  </si>
  <si>
    <t xml:space="preserve">FECHA DE COMPRA </t>
  </si>
  <si>
    <t>FECHA DE ENTREGA</t>
  </si>
  <si>
    <t>INFO</t>
  </si>
  <si>
    <t>MOD CARGADOR</t>
  </si>
  <si>
    <t>CT CARGADOR</t>
  </si>
  <si>
    <t>GALAXY S20 FE</t>
  </si>
  <si>
    <t>13/11/2023</t>
  </si>
  <si>
    <t>KENNETH QUINTANA</t>
  </si>
  <si>
    <t>XIAOMI</t>
  </si>
  <si>
    <t>REDMI NOTE 11T</t>
  </si>
  <si>
    <t>GALAYX A32</t>
  </si>
  <si>
    <t>RF8R60KPASH</t>
  </si>
  <si>
    <t>RF8X20CYFGZ</t>
  </si>
  <si>
    <t>16/02/2024</t>
  </si>
  <si>
    <t>18/09/2025</t>
  </si>
  <si>
    <t>R58NB4HTKTY</t>
  </si>
  <si>
    <t>R58NB4EPVEY</t>
  </si>
  <si>
    <t>17/11/2025</t>
  </si>
  <si>
    <t>R58NB4ERG7K</t>
  </si>
  <si>
    <t>R58T40FEZ9L</t>
  </si>
  <si>
    <t>R58TC0FM92N</t>
  </si>
  <si>
    <t>30/03/2023</t>
  </si>
  <si>
    <t>14/04/2023</t>
  </si>
  <si>
    <t>IPHONE 8</t>
  </si>
  <si>
    <t>R58W60Y4DJK</t>
  </si>
  <si>
    <t>31/12/2024</t>
  </si>
  <si>
    <t>R9WT10J2DBD</t>
  </si>
  <si>
    <t>R58R631Y07B</t>
  </si>
  <si>
    <t>R58NB4EPSDF</t>
  </si>
  <si>
    <t>5CD8226VHF</t>
  </si>
  <si>
    <t>I3 7020U 512 SSD</t>
  </si>
  <si>
    <t>WFTKV0EGC77FD5</t>
  </si>
  <si>
    <t>JEIMMY URIARTE</t>
  </si>
  <si>
    <t>5CD82226VK9</t>
  </si>
  <si>
    <t>5CD82226VJ1</t>
  </si>
  <si>
    <t>HSTNN-DA40</t>
  </si>
  <si>
    <t>WFTLD0ECXAFSIU</t>
  </si>
  <si>
    <t>5CD82226V71</t>
  </si>
  <si>
    <t>PROBOOK 450 G3</t>
  </si>
  <si>
    <t>5CD7379QFL</t>
  </si>
  <si>
    <t>I7 6500U 1TB SSD</t>
  </si>
  <si>
    <t>WDUUV0B5R9HHJF</t>
  </si>
  <si>
    <t>3361111-036</t>
  </si>
  <si>
    <t>5CD8226VDZ</t>
  </si>
  <si>
    <t>3361111-046</t>
  </si>
  <si>
    <t>IDEAPAD 310-15ISK</t>
  </si>
  <si>
    <t>PF0QWT1N</t>
  </si>
  <si>
    <t>I5 6200U 1TB SSD</t>
  </si>
  <si>
    <t>ADLX65CLGU2A</t>
  </si>
  <si>
    <t>8SSA10M42725L1CZ0BK0BTY</t>
  </si>
  <si>
    <t>3361111-053</t>
  </si>
  <si>
    <t>HEBER PINEDO</t>
  </si>
  <si>
    <t>THINKPAD T460</t>
  </si>
  <si>
    <t>PC0K48R</t>
  </si>
  <si>
    <t>AF04</t>
  </si>
  <si>
    <t>11S92P1105ZBEIQ9JQ1418</t>
  </si>
  <si>
    <t>3361111-065</t>
  </si>
  <si>
    <t>LP-JESTRADA2</t>
  </si>
  <si>
    <t>15-CC508LA</t>
  </si>
  <si>
    <t>5CD7262SJV</t>
  </si>
  <si>
    <t>I7 7500U 512 SSD</t>
  </si>
  <si>
    <t>WFTKU0EVKATL0H</t>
  </si>
  <si>
    <t>3361111-071</t>
  </si>
  <si>
    <t>ESTELA ASTORGA</t>
  </si>
  <si>
    <t>THINKPAD X260</t>
  </si>
  <si>
    <t>PC0F0865</t>
  </si>
  <si>
    <t>I7 6500U 512 SSD</t>
  </si>
  <si>
    <t>3361111-083</t>
  </si>
  <si>
    <t>LP-BI</t>
  </si>
  <si>
    <t>THINKPAD 11E</t>
  </si>
  <si>
    <t>LR0ANYBE</t>
  </si>
  <si>
    <t>I3 6100U 256 SSD</t>
  </si>
  <si>
    <t>11.6"</t>
  </si>
  <si>
    <t>ADLX45NCC2A</t>
  </si>
  <si>
    <t>SA10E75794</t>
  </si>
  <si>
    <t>3361111-111</t>
  </si>
  <si>
    <t>GRL3LF3</t>
  </si>
  <si>
    <t>I5 1135G7 512 SSD</t>
  </si>
  <si>
    <t>GP2CVC3</t>
  </si>
  <si>
    <t>FSP030-DQDA1</t>
  </si>
  <si>
    <t>LA0721120302AD02204</t>
  </si>
  <si>
    <t>3361111-113</t>
  </si>
  <si>
    <t>CESAR VALENCIA</t>
  </si>
  <si>
    <t>LP-CVALENCIA2</t>
  </si>
  <si>
    <t>3TYYVC3</t>
  </si>
  <si>
    <t>CN-0YTFJC-DES00-0C3-GY02-A08</t>
  </si>
  <si>
    <t>MABEL ACUÑA</t>
  </si>
  <si>
    <t>LP-MACUNA</t>
  </si>
  <si>
    <t>57MBVC3</t>
  </si>
  <si>
    <t>HA65NM130</t>
  </si>
  <si>
    <t>CN-06TFFF-75661-37D-6SHE-A00</t>
  </si>
  <si>
    <t>3361111-118</t>
  </si>
  <si>
    <t>LP-EASTORGA</t>
  </si>
  <si>
    <t>82MT1D3</t>
  </si>
  <si>
    <t>I5 1135G7 1TB SSD</t>
  </si>
  <si>
    <t>MARCIO MOSTACERO</t>
  </si>
  <si>
    <t>LP-MMOSTACERO</t>
  </si>
  <si>
    <t>JDH9VC3</t>
  </si>
  <si>
    <t>I5 1135G7 500 SSD</t>
  </si>
  <si>
    <t>CN-0YTFJC-DES00-138-48QI-A08</t>
  </si>
  <si>
    <t>PAOLA CCAHUANA</t>
  </si>
  <si>
    <t>LP-PCCAHUANA</t>
  </si>
  <si>
    <t>8W36LF3</t>
  </si>
  <si>
    <t>LA45NM140</t>
  </si>
  <si>
    <t>CN-0KXTTW-72438-63G-147D-A01</t>
  </si>
  <si>
    <t>SANDRA JUAREZ</t>
  </si>
  <si>
    <t>LP-SJUAREZ</t>
  </si>
  <si>
    <t>5CD8226VCC</t>
  </si>
  <si>
    <t>I3 7020UU 512 SSD</t>
  </si>
  <si>
    <t>LP-EAPAZA2</t>
  </si>
  <si>
    <t>5CD8226VKD</t>
  </si>
  <si>
    <t>I3 7200U 512 SSD</t>
  </si>
  <si>
    <t>3361111-168</t>
  </si>
  <si>
    <t>LP-CAGUIRRE2</t>
  </si>
  <si>
    <t>5CD225BCF6</t>
  </si>
  <si>
    <t>I3 1115G4 512 SSD</t>
  </si>
  <si>
    <t>WHGRE0BNJEZUJS0B</t>
  </si>
  <si>
    <t>3361111-133</t>
  </si>
  <si>
    <t>LP-JNUNEZ</t>
  </si>
  <si>
    <t>CPDH0H3</t>
  </si>
  <si>
    <t>I7 1165G7 512 SSD</t>
  </si>
  <si>
    <t>3361111-108</t>
  </si>
  <si>
    <t>LP-YRAMOS</t>
  </si>
  <si>
    <t>4QBHJ93</t>
  </si>
  <si>
    <t>CN-0KXTTW-LOC00-0AR-736C-A12</t>
  </si>
  <si>
    <t>3361111-016</t>
  </si>
  <si>
    <t>LP-JVILLAGARAY2</t>
  </si>
  <si>
    <t>B590</t>
  </si>
  <si>
    <t>WB11742034</t>
  </si>
  <si>
    <t>I5 3230M 500 HDD</t>
  </si>
  <si>
    <t>ADLX65NLT2A</t>
  </si>
  <si>
    <t>11S36200291ZZ30035608G</t>
  </si>
  <si>
    <t>3361111-090</t>
  </si>
  <si>
    <t>LP-PRUEBAS</t>
  </si>
  <si>
    <t>ENVY 15-CN002LA</t>
  </si>
  <si>
    <t>8CG92303TH</t>
  </si>
  <si>
    <t>I7 8550U 512 SSD</t>
  </si>
  <si>
    <t>TPN-DA14</t>
  </si>
  <si>
    <t>WHGJC0AARCBCQO</t>
  </si>
  <si>
    <t>OPTIPLEX 7010</t>
  </si>
  <si>
    <t>6LN1BZ1</t>
  </si>
  <si>
    <t>I7 3770 1TB HDD</t>
  </si>
  <si>
    <t>ASISTENCIA BSF</t>
  </si>
  <si>
    <t>PC-ASISTENCIABSF</t>
  </si>
  <si>
    <t>I5 3330 1TB HDD</t>
  </si>
  <si>
    <t>3361111-159</t>
  </si>
  <si>
    <t>RECEPCION</t>
  </si>
  <si>
    <t>PF3WPQW3</t>
  </si>
  <si>
    <t>8SSA10R16873L1CZ24B0020</t>
  </si>
  <si>
    <t>LP-JHERMOZA2</t>
  </si>
  <si>
    <t>BBXPVC3</t>
  </si>
  <si>
    <t>I5 1135U 512 SSD</t>
  </si>
  <si>
    <t>HA45NM140</t>
  </si>
  <si>
    <t>CN-00285K-CH200-07R-0FIO-A08</t>
  </si>
  <si>
    <t>3361111-104</t>
  </si>
  <si>
    <t>LP-WMARTINEZ2</t>
  </si>
  <si>
    <t>CND10325WW</t>
  </si>
  <si>
    <t>I5 1035G1 512 SSD</t>
  </si>
  <si>
    <t>3361111-055</t>
  </si>
  <si>
    <t>SIN USUARIO (ALEXIS CHALLCO)</t>
  </si>
  <si>
    <t>LP-ACHALLCO3</t>
  </si>
  <si>
    <t>THINKPAD L490</t>
  </si>
  <si>
    <t>PF2CFCWL</t>
  </si>
  <si>
    <t>I7 8565U 1TB SSD</t>
  </si>
  <si>
    <t>8SSA10R16873L1CZ04W17LG</t>
  </si>
  <si>
    <t>SIN USUARIO (GERSON APOLINARIO)</t>
  </si>
  <si>
    <t>5CD8226VH6</t>
  </si>
  <si>
    <t>3361111-058</t>
  </si>
  <si>
    <t>SIN USUARIO (SEGURIDAD BSF)</t>
  </si>
  <si>
    <t>PF0YR6M8</t>
  </si>
  <si>
    <t>ADLX65NLC3A</t>
  </si>
  <si>
    <t>11S36200Z2002CLM18</t>
  </si>
  <si>
    <t>3361111-056</t>
  </si>
  <si>
    <t>BK_BSF</t>
  </si>
  <si>
    <t>PF0WUQ2J (PF12WY0Z)</t>
  </si>
  <si>
    <t>8S5A10J75114L1CZ8B8006H</t>
  </si>
  <si>
    <t>CHRISTIAN CHOQUE</t>
  </si>
  <si>
    <t>CND103268J</t>
  </si>
  <si>
    <t>WHGRE0BVKEK7LE</t>
  </si>
  <si>
    <t>I7 10510U 512 SSD</t>
  </si>
  <si>
    <t>WHHRF0A3UF424M</t>
  </si>
  <si>
    <t>3361111-202</t>
  </si>
  <si>
    <t>5CG31051TT</t>
  </si>
  <si>
    <t>I5 1235U 512 SSD</t>
  </si>
  <si>
    <t>WHHRE0A3UHHIVX</t>
  </si>
  <si>
    <t>3361111-246</t>
  </si>
  <si>
    <t>5CD4298SG5</t>
  </si>
  <si>
    <t>I5 1335U 512 SSD</t>
  </si>
  <si>
    <t>WHHRE0A4LJL6GY</t>
  </si>
  <si>
    <t>3361111-081</t>
  </si>
  <si>
    <t>LP-WVASQUEZ</t>
  </si>
  <si>
    <t>THINKPAD L480</t>
  </si>
  <si>
    <t>PF1937NR</t>
  </si>
  <si>
    <t>20/10/2025</t>
  </si>
  <si>
    <t>I5 8250U 512 SSD</t>
  </si>
  <si>
    <t>8SSA10M13948L1CZ8530G1H</t>
  </si>
  <si>
    <t>3361111-087</t>
  </si>
  <si>
    <t>DEVOLUCIONES2</t>
  </si>
  <si>
    <t>LP-DEVOLUCIONES2</t>
  </si>
  <si>
    <t>IDEAPAD 330S-15IKB</t>
  </si>
  <si>
    <t>YD054R30</t>
  </si>
  <si>
    <t>28/05/2019</t>
  </si>
  <si>
    <t>22/04/2025</t>
  </si>
  <si>
    <t>11S45N0245Z1ZSH2CLM18</t>
  </si>
  <si>
    <t>3361111-127</t>
  </si>
  <si>
    <t>LP-DDELAPUENTE</t>
  </si>
  <si>
    <t>5CG1167ZWM</t>
  </si>
  <si>
    <t>29/01/2022</t>
  </si>
  <si>
    <t>I3 10110U 512 SSD</t>
  </si>
  <si>
    <t>WHGRH0CGCF06B5</t>
  </si>
  <si>
    <t>3361111-102</t>
  </si>
  <si>
    <t>LP-MCHAVEZ</t>
  </si>
  <si>
    <t>INSPIRON 3493</t>
  </si>
  <si>
    <t>JSSVN63</t>
  </si>
  <si>
    <t>26/05/2025</t>
  </si>
  <si>
    <t>SANDRA JAUREZ</t>
  </si>
  <si>
    <t>5CD733B7BS</t>
  </si>
  <si>
    <t>I5 7020U 512 SSD</t>
  </si>
  <si>
    <t>R58X901J84V</t>
  </si>
  <si>
    <t>IP</t>
  </si>
  <si>
    <t>SEDE</t>
  </si>
  <si>
    <t>LASERT JET M203DW</t>
  </si>
  <si>
    <t>BRBSL1X5JD</t>
  </si>
  <si>
    <t>GERENCIA GENERAL</t>
  </si>
  <si>
    <t>COLOR LASERT JET PRO MFP M477FDW</t>
  </si>
  <si>
    <t>VNB8J9M96M</t>
  </si>
  <si>
    <t>FX 890II</t>
  </si>
  <si>
    <t>X3YF033458</t>
  </si>
  <si>
    <t xml:space="preserve">COBRANZAS </t>
  </si>
  <si>
    <t>X3YF032542</t>
  </si>
  <si>
    <t>BACKUP</t>
  </si>
  <si>
    <t>X3YF092677</t>
  </si>
  <si>
    <t>IM 430</t>
  </si>
  <si>
    <t>3355P750220</t>
  </si>
  <si>
    <t>OFICINA SAN ISIDRO</t>
  </si>
  <si>
    <t>192.168.14.30</t>
  </si>
  <si>
    <t>3355P750224</t>
  </si>
  <si>
    <t xml:space="preserve">CENTRO DE DISTRIBUCIÓN PUNTA HERMOSA </t>
  </si>
  <si>
    <t>192.168.17.103</t>
  </si>
  <si>
    <t>IM 5000</t>
  </si>
  <si>
    <t>4454R720006</t>
  </si>
  <si>
    <t>CENTRO DE DISTRIBUCIÓN PUNTA HERMOSA</t>
  </si>
  <si>
    <t>192.168.17.11</t>
  </si>
  <si>
    <t>FX-890 II</t>
  </si>
  <si>
    <t>X3YF046991</t>
  </si>
  <si>
    <t>ZT 411 (IMP 01)</t>
  </si>
  <si>
    <t>99J213104353</t>
  </si>
  <si>
    <t>CENTRO DE DISTRIBUCIÓN PUNTA HERMOSA (MESON 1)</t>
  </si>
  <si>
    <t>192.168.17.30</t>
  </si>
  <si>
    <t>ZT 410 (IMP 02)</t>
  </si>
  <si>
    <t>18J156103359</t>
  </si>
  <si>
    <t>CENTRO DE DISTRIBUCIÓN PUNTA HERMOSA (MESON 2)</t>
  </si>
  <si>
    <t>192.168.17.31</t>
  </si>
  <si>
    <t>ZT 411 (IMP 10)</t>
  </si>
  <si>
    <t>99J241201500</t>
  </si>
  <si>
    <t>CENTRO DE DISTRIBUCIÓN PUNTA HERMOSA (MESON 3)</t>
  </si>
  <si>
    <t>192.168.17.107</t>
  </si>
  <si>
    <t>ZT 410 (IMP 03)</t>
  </si>
  <si>
    <t>18J164002436</t>
  </si>
  <si>
    <t>CENTRO DE DISTRIBUCIÓN PUNTA HERMOSA (MESON 4)</t>
  </si>
  <si>
    <t>192.168.17.32</t>
  </si>
  <si>
    <t>ZT 411 (IMP 04)</t>
  </si>
  <si>
    <t>99J203901580</t>
  </si>
  <si>
    <t>CENTRO DE DISTRIBUCIÓN PUNTA HERMOSA (MESON 5)</t>
  </si>
  <si>
    <t>192.168.17.33</t>
  </si>
  <si>
    <t>ZT 410 (IMP 05)</t>
  </si>
  <si>
    <t>18J170802640</t>
  </si>
  <si>
    <t>CENTRO DE DISTRIBUCIÓN PUNTA HERMOSA (MESON 6)</t>
  </si>
  <si>
    <t>192.168.17.34</t>
  </si>
  <si>
    <t>ZT 411 (IMP 06)</t>
  </si>
  <si>
    <t>99J213104462</t>
  </si>
  <si>
    <t>CENTRO DE DISTRIBUCIÓN PUNTA HERMOSA (MESON 7)</t>
  </si>
  <si>
    <t>192.168.17.35</t>
  </si>
  <si>
    <t>ZT 411 (IMP 07)</t>
  </si>
  <si>
    <t>99J213104467</t>
  </si>
  <si>
    <t>CENTRO DE DISTRIBUCIÓN PUNTA HERMOSA (MESON 8)</t>
  </si>
  <si>
    <t>192.168.17.37</t>
  </si>
  <si>
    <t>ZT 411 (IMP 08)</t>
  </si>
  <si>
    <t>99J213104461</t>
  </si>
  <si>
    <t>CENTRO DE DISTRIBUCIÓN PUNTA HERMOSA (MESON 9)</t>
  </si>
  <si>
    <t>192.168.17.38</t>
  </si>
  <si>
    <t>ZT 411 (IMP 09)</t>
  </si>
  <si>
    <t>99J241201498</t>
  </si>
  <si>
    <t>CENTRO DE DISTRIBUCIÓN PUNTA HERMOSA (MESON 10)</t>
  </si>
  <si>
    <t>192.168.17.105</t>
  </si>
  <si>
    <t>99J241201473</t>
  </si>
  <si>
    <t>CENTRO DE DISTRIBUCIÓN PUNTA HERMOSA (MESON 11) - LOTE 05</t>
  </si>
  <si>
    <t>192.168.17.106</t>
  </si>
  <si>
    <t>LASERT JET Pro MFP M426fdw</t>
  </si>
  <si>
    <t>BRBSJ8H847</t>
  </si>
  <si>
    <t xml:space="preserve">ZT 411 </t>
  </si>
  <si>
    <t>99N252701399</t>
  </si>
  <si>
    <t>ESL-3000AI</t>
  </si>
  <si>
    <t>P437-OC022</t>
  </si>
  <si>
    <t>CENTRO DE DISTRIBUCIÓN PUNTA HERMOSA - IM5000</t>
  </si>
  <si>
    <t>P436-OC22</t>
  </si>
  <si>
    <t>CENTRO DE DISTRIBUCIÓN PUNTA HERMOSA - IM430</t>
  </si>
  <si>
    <t>ESL-2000AI</t>
  </si>
  <si>
    <t>SAN ISIDRO - IM430</t>
  </si>
  <si>
    <t>ECOTANK L6370</t>
  </si>
  <si>
    <t>XDPY039486</t>
  </si>
  <si>
    <t>XDPY042388</t>
  </si>
  <si>
    <t>192.168.14.96</t>
  </si>
  <si>
    <t>SAN ISIDRO (OFICINA DE ANGELA)</t>
  </si>
  <si>
    <t>LG</t>
  </si>
  <si>
    <t>22MK400H</t>
  </si>
  <si>
    <t>908NTJJ8B156</t>
  </si>
  <si>
    <t>24MK430H</t>
  </si>
  <si>
    <t>901NTAB3F048</t>
  </si>
  <si>
    <t>LC24F390FHLXPE</t>
  </si>
  <si>
    <t>BZT0H4ZT800092Z</t>
  </si>
  <si>
    <t>P2014H</t>
  </si>
  <si>
    <t>0J6HTF</t>
  </si>
  <si>
    <t>LENOVO THINKVISION</t>
  </si>
  <si>
    <t>T23i-30</t>
  </si>
  <si>
    <t>V90D90B7</t>
  </si>
  <si>
    <t>LS27CG552ELXPE</t>
  </si>
  <si>
    <t>0TLEHNAX900276D</t>
  </si>
  <si>
    <t>FLATRON E2351VR-BN</t>
  </si>
  <si>
    <t>209NDHBGW361</t>
  </si>
  <si>
    <t>DATA CENTER</t>
  </si>
  <si>
    <t>HP V190</t>
  </si>
  <si>
    <t>1CR8120PY5</t>
  </si>
  <si>
    <t>LS34J550WQLXPE</t>
  </si>
  <si>
    <t>CX29H4ZNB00030H</t>
  </si>
  <si>
    <t>LS19A330NHLXPE</t>
  </si>
  <si>
    <t>4KX7H4TW200057P</t>
  </si>
  <si>
    <t>AOC</t>
  </si>
  <si>
    <t>230LM00013</t>
  </si>
  <si>
    <t>DAJB9JA001717</t>
  </si>
  <si>
    <t>34WQ75C</t>
  </si>
  <si>
    <t>403NTDVEU698</t>
  </si>
  <si>
    <t>22MR410</t>
  </si>
  <si>
    <t>412TOCD0C603</t>
  </si>
  <si>
    <t>19M38H</t>
  </si>
  <si>
    <t>305NTEPEE612</t>
  </si>
  <si>
    <t>506TOWR0F753</t>
  </si>
  <si>
    <t>305NTNHEE999</t>
  </si>
  <si>
    <t>24MS500</t>
  </si>
  <si>
    <t>502NTZN2V309</t>
  </si>
  <si>
    <t>ACER</t>
  </si>
  <si>
    <t>ED320QR</t>
  </si>
  <si>
    <t>MMTJNAA001011024943W01</t>
  </si>
  <si>
    <t>SIN USUARIO (MARICARMEN PLASENCIA)</t>
  </si>
  <si>
    <t>LS22A33ANHLXPE</t>
  </si>
  <si>
    <t>5JBCH4TT603194V</t>
  </si>
  <si>
    <t>FLATRON 23EA63V-P</t>
  </si>
  <si>
    <t>303NDXQ5C338</t>
  </si>
  <si>
    <t>22MN430M</t>
  </si>
  <si>
    <t>204NTTQAE857</t>
  </si>
  <si>
    <t>SIN USUARIO (PALMIRA GARCIA)</t>
  </si>
  <si>
    <t>501TOSY2C134</t>
  </si>
  <si>
    <t>P2417H</t>
  </si>
  <si>
    <t>4TFHTK2</t>
  </si>
  <si>
    <t>LS24D300HS/PE</t>
  </si>
  <si>
    <t>ZZEBH4LH400181J</t>
  </si>
  <si>
    <t>301NTHMCF873</t>
  </si>
  <si>
    <t>208NDPHE5024</t>
  </si>
  <si>
    <t>506TONB27743</t>
  </si>
  <si>
    <t>301NTYTCF994</t>
  </si>
  <si>
    <t>CX29H4ZNB00024F</t>
  </si>
  <si>
    <t>E1916H</t>
  </si>
  <si>
    <t>27LR6D2</t>
  </si>
  <si>
    <t>24MQ400-B</t>
  </si>
  <si>
    <t>302NTGY50823</t>
  </si>
  <si>
    <t>REGLAS</t>
  </si>
  <si>
    <t>CORREOS</t>
  </si>
  <si>
    <t>Prueba PH</t>
  </si>
  <si>
    <t>143.244.155.84</t>
  </si>
  <si>
    <t>144.91.87.26</t>
  </si>
  <si>
    <t>BLOQUEO CORREOS PHISHING</t>
  </si>
  <si>
    <t>Peruvia453</t>
  </si>
  <si>
    <t>Peruvia453@gmail.com</t>
  </si>
  <si>
    <t>putelas53</t>
  </si>
  <si>
    <t>putelas53@gmail.com</t>
  </si>
  <si>
    <t>RECHAZA ENVIO MENSAJE CON CONTENIDO SUPERIOR A 8 MB</t>
  </si>
  <si>
    <t>mpizarro</t>
  </si>
  <si>
    <t>mpizarro@refax.pe</t>
  </si>
  <si>
    <t>fotero</t>
  </si>
  <si>
    <t>impresorahp</t>
  </si>
  <si>
    <t>impresorahp@refax.pe</t>
  </si>
  <si>
    <t>jminaya</t>
  </si>
  <si>
    <t>aarispe</t>
  </si>
  <si>
    <t>pbravo</t>
  </si>
  <si>
    <t>alluen</t>
  </si>
  <si>
    <t>acubas</t>
  </si>
  <si>
    <t>kdelbueno</t>
  </si>
  <si>
    <t>kdelbueno@refax.pe</t>
  </si>
  <si>
    <t>receptor</t>
  </si>
  <si>
    <t>receptor@refax.pe</t>
  </si>
  <si>
    <t>rsalazar</t>
  </si>
  <si>
    <t>gbustos</t>
  </si>
  <si>
    <t>rnurena</t>
  </si>
  <si>
    <t>rnurena@refax.pe</t>
  </si>
  <si>
    <t>dhernandez</t>
  </si>
  <si>
    <t>rcaceres</t>
  </si>
  <si>
    <t>RECHAZA ENVIO MENSAJE CON CONTENIDO SUPERIOR A 5 MB</t>
  </si>
  <si>
    <t>jcueva</t>
  </si>
  <si>
    <t>rpillaca</t>
  </si>
  <si>
    <t>cramirez</t>
  </si>
  <si>
    <t>carevalo</t>
  </si>
  <si>
    <t>jsuematzu</t>
  </si>
  <si>
    <t>asotero</t>
  </si>
  <si>
    <t>flaurente</t>
  </si>
  <si>
    <t>cabregu</t>
  </si>
  <si>
    <t>jestrada</t>
  </si>
  <si>
    <t>comunicacionesinternas</t>
  </si>
  <si>
    <t>comunicacionesinternas@refax.pe</t>
  </si>
  <si>
    <t>gsoller</t>
  </si>
  <si>
    <t>mzavaleta</t>
  </si>
  <si>
    <t>wruiz</t>
  </si>
  <si>
    <t>jruiz</t>
  </si>
  <si>
    <t>jcavero</t>
  </si>
  <si>
    <t>jvaccaro</t>
  </si>
  <si>
    <t>dserquen</t>
  </si>
  <si>
    <t>facturador_cd</t>
  </si>
  <si>
    <t>RECHAZA ENVIO MENSAJE CON CONTENIDO SUPERIOR A 3 MB</t>
  </si>
  <si>
    <t>avargas</t>
  </si>
  <si>
    <t>pagarcia</t>
  </si>
  <si>
    <t>Alerta de correo externo</t>
  </si>
  <si>
    <t>refax</t>
  </si>
  <si>
    <t>refax.com</t>
  </si>
  <si>
    <t>refaxchile</t>
  </si>
  <si>
    <t>refaxchile.cl</t>
  </si>
  <si>
    <t>mundorepuestos</t>
  </si>
  <si>
    <t>mundorepuestos.cl</t>
  </si>
  <si>
    <t>mundorepuestos.com</t>
  </si>
  <si>
    <t>stpautoparts</t>
  </si>
  <si>
    <t>stpautoparts.com</t>
  </si>
  <si>
    <t>gtocas</t>
  </si>
  <si>
    <t>N° CHIP</t>
  </si>
  <si>
    <t>NÚMERO ASIGNADO</t>
  </si>
  <si>
    <t>TIPO DE ASIGNACIÓN</t>
  </si>
  <si>
    <t>895110113004122156</t>
  </si>
  <si>
    <t>EN USO</t>
  </si>
  <si>
    <t>REPOSICIÓN</t>
  </si>
  <si>
    <t>895110113004122165</t>
  </si>
  <si>
    <t>895110163097475596</t>
  </si>
  <si>
    <t>NUEVO</t>
  </si>
  <si>
    <t>895110163097475600</t>
  </si>
  <si>
    <t>895110113004122158</t>
  </si>
  <si>
    <t>895110163997462300</t>
  </si>
  <si>
    <t>FACTURACIÓN CD</t>
  </si>
  <si>
    <t>895110163997462301</t>
  </si>
  <si>
    <t>895110113004122157</t>
  </si>
  <si>
    <t>895110113004122159</t>
  </si>
  <si>
    <t>895110113005021369</t>
  </si>
  <si>
    <t>895110113005021370</t>
  </si>
  <si>
    <t>DATOS</t>
  </si>
  <si>
    <t>FECHA DE COMPRA DEL EQUIPO</t>
  </si>
  <si>
    <t>OBSERVACIONES</t>
  </si>
  <si>
    <t>SIN USUARIO (ANDRES CACHIMA)</t>
  </si>
  <si>
    <t>30 GB</t>
  </si>
  <si>
    <t>ZTE</t>
  </si>
  <si>
    <t>MF920U MODEM BLANCO</t>
  </si>
  <si>
    <t>SI ESTA</t>
  </si>
  <si>
    <t>SIN USUARIO (SUSSAN HUAPAYA)</t>
  </si>
  <si>
    <t>60 GB</t>
  </si>
  <si>
    <t>MF937 MODEM BLANCO</t>
  </si>
  <si>
    <t>MF937MODEM BLANCO</t>
  </si>
  <si>
    <t>ANDRES CACHIMA (TI)</t>
  </si>
  <si>
    <t>B612-533 ROUTER</t>
  </si>
  <si>
    <t>CSD7S20331000789</t>
  </si>
  <si>
    <t>270 GB</t>
  </si>
  <si>
    <t>TPLINK</t>
  </si>
  <si>
    <t>ARCHER MR400 (APAC)</t>
  </si>
  <si>
    <t>225303D001780</t>
  </si>
  <si>
    <t>NÚMERO DE SERIE</t>
  </si>
  <si>
    <t>AÑO</t>
  </si>
  <si>
    <t>FECHA</t>
  </si>
  <si>
    <t>S17142523021809</t>
  </si>
  <si>
    <t>S17142523021820</t>
  </si>
  <si>
    <t>S17142523021401</t>
  </si>
  <si>
    <t>S17142523021760</t>
  </si>
  <si>
    <t>S17142523021854</t>
  </si>
  <si>
    <t>S17142523021291</t>
  </si>
  <si>
    <t>S17142523021232</t>
  </si>
  <si>
    <t>S17142523021991</t>
  </si>
  <si>
    <t>S17142523021890</t>
  </si>
  <si>
    <t>S17142523021635</t>
  </si>
  <si>
    <t>S17142523021380</t>
  </si>
  <si>
    <t>S17142523021953</t>
  </si>
  <si>
    <t>S17142523021896</t>
  </si>
  <si>
    <t>S17142523021435</t>
  </si>
  <si>
    <t>S17142523021840</t>
  </si>
  <si>
    <t>S17142523021289</t>
  </si>
  <si>
    <t>S17142523021218</t>
  </si>
  <si>
    <t>S17142523021480</t>
  </si>
  <si>
    <t>S17142523021998</t>
  </si>
  <si>
    <t>S17142523021948</t>
  </si>
  <si>
    <t>S21229520101588</t>
  </si>
  <si>
    <t>S21278520102265</t>
  </si>
  <si>
    <t>S21229520101491</t>
  </si>
  <si>
    <t>S21278520102346</t>
  </si>
  <si>
    <t>S21278520102288</t>
  </si>
  <si>
    <t>S21230520100995</t>
  </si>
  <si>
    <t>S21229520101415</t>
  </si>
  <si>
    <t>S21229520101365</t>
  </si>
  <si>
    <t>S21229520101406</t>
  </si>
  <si>
    <t>S21229520101303</t>
  </si>
  <si>
    <t>S21278520101627</t>
  </si>
  <si>
    <t>S21278520101676</t>
  </si>
  <si>
    <t>S21230520100015</t>
  </si>
  <si>
    <t>S21229520101393</t>
  </si>
  <si>
    <t>S21278520101900</t>
  </si>
  <si>
    <t>S21230520100817</t>
  </si>
  <si>
    <t>S21229520101394</t>
  </si>
  <si>
    <t>S21278520101762</t>
  </si>
  <si>
    <t>S21229520101378</t>
  </si>
  <si>
    <t>S21229520101439</t>
  </si>
  <si>
    <t>S21278520102289</t>
  </si>
  <si>
    <t>S21230520101031</t>
  </si>
  <si>
    <t>S21229520101187</t>
  </si>
  <si>
    <t>S21278520102378</t>
  </si>
  <si>
    <t>S21278520101794</t>
  </si>
  <si>
    <t>S23359525100735</t>
  </si>
  <si>
    <t>S23360525100092</t>
  </si>
  <si>
    <t>S23360525100126</t>
  </si>
  <si>
    <t>S23360525100129</t>
  </si>
  <si>
    <t>S23360525100144</t>
  </si>
  <si>
    <t>S22042520100090</t>
  </si>
  <si>
    <t>S25147523022184</t>
  </si>
  <si>
    <t>S25147523022450</t>
  </si>
  <si>
    <t>S25148523020594</t>
  </si>
  <si>
    <t>S25148523020733</t>
  </si>
  <si>
    <t>S25148523022174</t>
  </si>
  <si>
    <t>S25148523022865</t>
  </si>
  <si>
    <t>S25147523022264</t>
  </si>
  <si>
    <t>S25147523022485</t>
  </si>
  <si>
    <t>S25148523020559</t>
  </si>
  <si>
    <t>S25148523020740</t>
  </si>
  <si>
    <t>S25148523022342</t>
  </si>
  <si>
    <t>S25147523022339</t>
  </si>
  <si>
    <t>S25147523022488</t>
  </si>
  <si>
    <t>S25148523020633</t>
  </si>
  <si>
    <t>S25148523020849</t>
  </si>
  <si>
    <t>S25148523022547</t>
  </si>
  <si>
    <t>DIRECCIÓN MAC</t>
  </si>
  <si>
    <t>UBICACION</t>
  </si>
  <si>
    <t>OFICINA</t>
  </si>
  <si>
    <t>PUERTO PRINCIPAL</t>
  </si>
  <si>
    <t>NVR</t>
  </si>
  <si>
    <t>HIKVISION</t>
  </si>
  <si>
    <t>DS-7616NI-Q2/16P</t>
  </si>
  <si>
    <t>16P1620231216CCRRAY2246525WCVU</t>
  </si>
  <si>
    <t>192.168.41.20</t>
  </si>
  <si>
    <t>DATACENTER</t>
  </si>
  <si>
    <t>Vlan 77
Segmento: 192.168.41.0/24
Gateway: 192.168.41.1</t>
  </si>
  <si>
    <t>CÁMARAS</t>
  </si>
  <si>
    <t>DS-2CD1143G0-I</t>
  </si>
  <si>
    <t>AE8176491</t>
  </si>
  <si>
    <t>192.168.1.2</t>
  </si>
  <si>
    <t>A0:FF:0C:F7:4B:4D</t>
  </si>
  <si>
    <t>AE8176583</t>
  </si>
  <si>
    <t>192.168.1.3</t>
  </si>
  <si>
    <t>A0:FF:0C:F7:4B:A9</t>
  </si>
  <si>
    <t>KITCHENETTE</t>
  </si>
  <si>
    <t>AE8176490</t>
  </si>
  <si>
    <t>192.168.1.4</t>
  </si>
  <si>
    <t>A0:FF:0C:F7:4B:4C</t>
  </si>
  <si>
    <t>AE8176391</t>
  </si>
  <si>
    <t>192.168.1.5</t>
  </si>
  <si>
    <t>A0:FF:0C:F7:4A:E9</t>
  </si>
  <si>
    <t>VENTAS</t>
  </si>
  <si>
    <t>J26285980</t>
  </si>
  <si>
    <t>192.168.1.6</t>
  </si>
  <si>
    <t>24:0F:9B:87:A5:33</t>
  </si>
  <si>
    <t>AE8176427</t>
  </si>
  <si>
    <t>192.168.1.7</t>
  </si>
  <si>
    <t>A0:FF:0C:F7:4B:0D</t>
  </si>
  <si>
    <t>UPS</t>
  </si>
  <si>
    <t>VERTIV</t>
  </si>
  <si>
    <t>GXT5-6000IRT5UXLN</t>
  </si>
  <si>
    <t>2209701997BWGB3</t>
  </si>
  <si>
    <t>192.168.41.10</t>
  </si>
  <si>
    <t>(BANCO DE BATERIA) GXT5-EBC192VRT3U</t>
  </si>
  <si>
    <t>2209100027BWK93</t>
  </si>
  <si>
    <t>APC</t>
  </si>
  <si>
    <t>(UPS BK) SMT2200I</t>
  </si>
  <si>
    <t>AS1732353689</t>
  </si>
  <si>
    <t>FIREWALL</t>
  </si>
  <si>
    <t>FORTINET</t>
  </si>
  <si>
    <t>FG-100F</t>
  </si>
  <si>
    <t>FG100FTK24011634</t>
  </si>
  <si>
    <t>FG100FTK24001784</t>
  </si>
  <si>
    <t>SWITCH</t>
  </si>
  <si>
    <t>CISCO</t>
  </si>
  <si>
    <t>CATALYST 9200L 48P PoE</t>
  </si>
  <si>
    <t>FOX2804QQJF</t>
  </si>
  <si>
    <t>FOX2804QQJB</t>
  </si>
  <si>
    <t>FJC2451133V</t>
  </si>
  <si>
    <t>EC:CE:13:51:63:00</t>
  </si>
  <si>
    <t>DATACENTER (TRUNK NUEVO)</t>
  </si>
  <si>
    <t>CATALYST 2960-X</t>
  </si>
  <si>
    <t>FVI2918P3EX</t>
  </si>
  <si>
    <t>DATACENTER (TRUNK ACTUAL)</t>
  </si>
  <si>
    <t>SERVER</t>
  </si>
  <si>
    <t>VM-ESX-01 POWER EDGE R640 (HOST 1)</t>
  </si>
  <si>
    <t>JLD5N83</t>
  </si>
  <si>
    <t>172.32.1.4</t>
  </si>
  <si>
    <t>VM-ESX-02 POWER EDGE R640 (HOST 2)</t>
  </si>
  <si>
    <t>JLD6N83</t>
  </si>
  <si>
    <t>172.32.1.5</t>
  </si>
  <si>
    <t>CT-SCv3020 (STORAGE)</t>
  </si>
  <si>
    <t>172.32.1.7</t>
  </si>
  <si>
    <t>ACCESS POINT</t>
  </si>
  <si>
    <t>ARUBA</t>
  </si>
  <si>
    <t>AP-303</t>
  </si>
  <si>
    <t xml:space="preserve">CNPDK9T0WX </t>
  </si>
  <si>
    <t>OFICINA SI</t>
  </si>
  <si>
    <t xml:space="preserve">CNPDK9T0XF </t>
  </si>
  <si>
    <t>CNPDK9T0XM</t>
  </si>
  <si>
    <t>CNPDK9T0XV</t>
  </si>
  <si>
    <t>ALMACENAMIENTO NAS</t>
  </si>
  <si>
    <t>QTS</t>
  </si>
  <si>
    <t>TS-462</t>
  </si>
  <si>
    <t>Q237B01742F</t>
  </si>
  <si>
    <t>192.168.16.162</t>
  </si>
  <si>
    <t>MEETUP</t>
  </si>
  <si>
    <t>LOGITECH</t>
  </si>
  <si>
    <t>B2B MEETUP + MIC EXPANSION BLACK</t>
  </si>
  <si>
    <t>2402SW000498</t>
  </si>
  <si>
    <t>DIRECTORIO</t>
  </si>
  <si>
    <t>C930e usb 1080p</t>
  </si>
  <si>
    <t>2403AP042249</t>
  </si>
  <si>
    <t>2403AP0423F9</t>
  </si>
  <si>
    <t>ESTABILIZADOR DE TENSIÓN</t>
  </si>
  <si>
    <t>TRF-10000A</t>
  </si>
  <si>
    <t>P375-JL24</t>
  </si>
  <si>
    <t>AIRE ACONDICIONADO PORTATIL</t>
  </si>
  <si>
    <t>MIRAY</t>
  </si>
  <si>
    <t>AAP-09H</t>
  </si>
  <si>
    <t>CONTROL DE ACCESO</t>
  </si>
  <si>
    <t>DS-K1T342EX-PE</t>
  </si>
  <si>
    <t>PE20231117V031601ENAY0884098</t>
  </si>
  <si>
    <t>192.168.15.39</t>
  </si>
  <si>
    <t xml:space="preserve">DS-KH6350-WTE1 </t>
  </si>
  <si>
    <t>VD-IPNSTA-HK</t>
  </si>
  <si>
    <t>TELECOM</t>
  </si>
  <si>
    <t>CELLBOOST</t>
  </si>
  <si>
    <t>FORCE 303</t>
  </si>
  <si>
    <t>Antena Omdireccional interior, Full Band(698- 2692 MHz), Ganancia 5dBi, 70 Ohm, Conector F Hembra</t>
  </si>
  <si>
    <t>SIN S/N</t>
  </si>
  <si>
    <t>UBICACIÓN</t>
  </si>
  <si>
    <t>DAHUA</t>
  </si>
  <si>
    <t>DHI-NVR5864-EI</t>
  </si>
  <si>
    <t>AE03DACPAZ3FCA3</t>
  </si>
  <si>
    <t>SMART CABINET</t>
  </si>
  <si>
    <t>PH</t>
  </si>
  <si>
    <t>DHI-NVR5432-16P-EI</t>
  </si>
  <si>
    <t>AJ089ACAAZ01E5E</t>
  </si>
  <si>
    <t>DH-IPC-HFW1431S1-A-S4</t>
  </si>
  <si>
    <t>AG0091APAG6C8CE1</t>
  </si>
  <si>
    <t>D-01</t>
  </si>
  <si>
    <t>AC0BAC1PAG702611</t>
  </si>
  <si>
    <t>AC0BAC1PAG9B2381</t>
  </si>
  <si>
    <t>AC0BAC1PAG220931</t>
  </si>
  <si>
    <t>AC0BAC1PAG67AD91</t>
  </si>
  <si>
    <t>AG0091APAGD149C1</t>
  </si>
  <si>
    <t>DH-IPC-HDW1431T1-A-S4</t>
  </si>
  <si>
    <t>AE09714PAGA33A31</t>
  </si>
  <si>
    <t>AE09714PAG4C82D1</t>
  </si>
  <si>
    <t>AE09714PAGEAA631</t>
  </si>
  <si>
    <t>AE09714PAGC96741</t>
  </si>
  <si>
    <t>AE09714PAGE211A1</t>
  </si>
  <si>
    <t>DH-IPC-HFW1431S1-A</t>
  </si>
  <si>
    <t>AG09AB8PAG283121</t>
  </si>
  <si>
    <t>AE09714PAG307921</t>
  </si>
  <si>
    <t>AE09714PAGEBEA71</t>
  </si>
  <si>
    <t>AE09714PAG5EDAC1</t>
  </si>
  <si>
    <t>AG0091APAG8D16D1</t>
  </si>
  <si>
    <t>AE01490PAGA68891</t>
  </si>
  <si>
    <t>AG09AB8PAGD8E191</t>
  </si>
  <si>
    <t>D-03</t>
  </si>
  <si>
    <t>AG09AB8PAGC34701</t>
  </si>
  <si>
    <t>DH-IPC-HDW1431T1-A</t>
  </si>
  <si>
    <t>AH10424PAG000401</t>
  </si>
  <si>
    <t>AH10424PAG004251</t>
  </si>
  <si>
    <t>AH10424PAG00443</t>
  </si>
  <si>
    <t>AH0E05EPAG004281</t>
  </si>
  <si>
    <t>AG09AB8PAGCCD4C1</t>
  </si>
  <si>
    <t>DH-SD49425DB-HNY</t>
  </si>
  <si>
    <t>AG01442PAJ9286F</t>
  </si>
  <si>
    <t>AK0A4FEPAG00534</t>
  </si>
  <si>
    <t>D-05</t>
  </si>
  <si>
    <t>AK0A4FEPAG00161</t>
  </si>
  <si>
    <t>AK0A4FEPAG00500</t>
  </si>
  <si>
    <t>AK0A4FEPAG00509</t>
  </si>
  <si>
    <t>AK0A4FEPAG00160</t>
  </si>
  <si>
    <t>AK08112PAG0D815</t>
  </si>
  <si>
    <t>AK08112PAG94BAA</t>
  </si>
  <si>
    <t>AK08112PAG4F756</t>
  </si>
  <si>
    <t>AK08112PAG65C67</t>
  </si>
  <si>
    <t>AK08112PAG70F3F</t>
  </si>
  <si>
    <t>AK08112PAG9DAE9</t>
  </si>
  <si>
    <t>AK08112PAG11EB4</t>
  </si>
  <si>
    <t>AK08112PAG497BE</t>
  </si>
  <si>
    <t>AK08112PAG39BFA</t>
  </si>
  <si>
    <t>AK08112PAGFA88E</t>
  </si>
  <si>
    <t>AK08112PAG4D18D</t>
  </si>
  <si>
    <t>AK08112PAG21A9F</t>
  </si>
  <si>
    <t>AK08112PAG7366B</t>
  </si>
  <si>
    <t>AK08112PAG45863</t>
  </si>
  <si>
    <t>AK08112PAG4EF5A</t>
  </si>
  <si>
    <t>AK08112PAG39A0D</t>
  </si>
  <si>
    <t>AK08112PAG3634F</t>
  </si>
  <si>
    <t>AK08112PAG5F7B5</t>
  </si>
  <si>
    <t>AK08112PAGC883F</t>
  </si>
  <si>
    <t>AK08112PAGED659</t>
  </si>
  <si>
    <t>AK08112PAGB370D</t>
  </si>
  <si>
    <t>AK08112PAGC0401</t>
  </si>
  <si>
    <t>AK08112PAG57C4F</t>
  </si>
  <si>
    <t>AK08112PAG2FB87</t>
  </si>
  <si>
    <t>AK08112PAG01E43</t>
  </si>
  <si>
    <t>AC0B169PAJ48014</t>
  </si>
  <si>
    <t>AE09714PAGF85E3</t>
  </si>
  <si>
    <t>LIEBERT</t>
  </si>
  <si>
    <t>GXT5-6000</t>
  </si>
  <si>
    <t>2010700010BWK26</t>
  </si>
  <si>
    <t>AS2411161738</t>
  </si>
  <si>
    <t>SMT1000RMI2UC</t>
  </si>
  <si>
    <t>GABINETE 1</t>
  </si>
  <si>
    <t>AS2405152078</t>
  </si>
  <si>
    <t>GABINETE 2</t>
  </si>
  <si>
    <t>100F</t>
  </si>
  <si>
    <t>FG100FTK21011226</t>
  </si>
  <si>
    <t>BUSINESS 250  TRUNK</t>
  </si>
  <si>
    <t>SMART CABINET Lote D-03</t>
  </si>
  <si>
    <t>BUSINESS 250</t>
  </si>
  <si>
    <t>CATALYST C1200 24P PoE</t>
  </si>
  <si>
    <t>DNI285005WS</t>
  </si>
  <si>
    <t>GABINETE 1 Lote D-03</t>
  </si>
  <si>
    <t>DNI285005Z9</t>
  </si>
  <si>
    <t>GABINETE 2 Lote D-05</t>
  </si>
  <si>
    <t>RUIJIE</t>
  </si>
  <si>
    <t>G1SU1DD000158</t>
  </si>
  <si>
    <t>RG-ES126S-P V2</t>
  </si>
  <si>
    <t>GRANDSTREAM</t>
  </si>
  <si>
    <t>GWN786P</t>
  </si>
  <si>
    <t>SERVIDOR</t>
  </si>
  <si>
    <t>AP-300RW</t>
  </si>
  <si>
    <t>CNPDK9T0C9</t>
  </si>
  <si>
    <t>CNPDK9T0CH</t>
  </si>
  <si>
    <t>CNPDK9T0CC</t>
  </si>
  <si>
    <t>CNPDK9T0CF</t>
  </si>
  <si>
    <t>CNPDK9T0CK</t>
  </si>
  <si>
    <t>CNPDK9T0CV</t>
  </si>
  <si>
    <t>CNPDK9T0JS</t>
  </si>
  <si>
    <t>CNPDK9T0CJ</t>
  </si>
  <si>
    <t>CNPDK9T0CN</t>
  </si>
  <si>
    <t>CNPDK9T0CR</t>
  </si>
  <si>
    <t>CNPDK9T0DM</t>
  </si>
  <si>
    <t>CNPDK9T0DD</t>
  </si>
  <si>
    <t>CNPDK9T0DK</t>
  </si>
  <si>
    <t>CNPDK9T0DF</t>
  </si>
  <si>
    <t>CNPDK9T0FS</t>
  </si>
  <si>
    <t>CNPDK9T0DR</t>
  </si>
  <si>
    <t>CNPDK9T0DG</t>
  </si>
  <si>
    <t>CNPDK9T0DN</t>
  </si>
  <si>
    <t>CNPDK9T0DH</t>
  </si>
  <si>
    <t>CNPDK9T0DJ</t>
  </si>
  <si>
    <t>CNPDK9T0DS</t>
  </si>
  <si>
    <t>CNPDK9T0FG</t>
  </si>
  <si>
    <t>CNPDK9T0D8</t>
  </si>
  <si>
    <t>CNPDK9T0PH</t>
  </si>
  <si>
    <t>CNPDK9T0DT</t>
  </si>
  <si>
    <t>CNPDK9T0FN</t>
  </si>
  <si>
    <t>CNPDK9T0FT</t>
  </si>
  <si>
    <t>CNPDK9T0G8</t>
  </si>
  <si>
    <t>CNPDK9T0GQ</t>
  </si>
  <si>
    <t>TRANSFORMADOR DE AISLAMIENTO</t>
  </si>
  <si>
    <t>2201140040TRF-8K</t>
  </si>
  <si>
    <t>PROYECTOR</t>
  </si>
  <si>
    <t>POWERLITE X49</t>
  </si>
  <si>
    <t>X8B45Z00017</t>
  </si>
  <si>
    <t>SALA STP PH</t>
  </si>
  <si>
    <t>APIN0505</t>
  </si>
  <si>
    <t>PHTSKPP3S8</t>
  </si>
  <si>
    <t>LOTE F-05</t>
  </si>
  <si>
    <t>EC1B5FC74A3C</t>
  </si>
  <si>
    <t>SONY</t>
  </si>
  <si>
    <t>VPL-DX220</t>
  </si>
  <si>
    <t>7026738714S</t>
  </si>
  <si>
    <t>CENTRO DE DISTRIBUCIÓN (MAYRA)</t>
  </si>
  <si>
    <t>HPE ARUBA</t>
  </si>
  <si>
    <t>2930F</t>
  </si>
  <si>
    <t>TW40HKW1YW</t>
  </si>
  <si>
    <t>EC67940BE7A0</t>
  </si>
  <si>
    <t>TW40HKW27W</t>
  </si>
  <si>
    <t>EC67940B9A40</t>
  </si>
  <si>
    <t>SCHENEIDER</t>
  </si>
  <si>
    <t>SRV2KRI-E</t>
  </si>
  <si>
    <t>9S2508A07389</t>
  </si>
  <si>
    <t>AP-01</t>
  </si>
  <si>
    <t>AP22</t>
  </si>
  <si>
    <t>PHTSKPP3QB</t>
  </si>
  <si>
    <t>EC1B5FC74BB4</t>
  </si>
  <si>
    <t>AP-02</t>
  </si>
  <si>
    <t>AP-03</t>
  </si>
  <si>
    <t>PHTSKPP3TS</t>
  </si>
  <si>
    <t>EC1B5FC74B40</t>
  </si>
  <si>
    <t>AP-04</t>
  </si>
  <si>
    <t>PHTSKPP3VM</t>
  </si>
  <si>
    <t>EC1B5FC74CA4</t>
  </si>
  <si>
    <t>AP-05</t>
  </si>
  <si>
    <t>PHTSKPP3TW</t>
  </si>
  <si>
    <t>EC1B5FC74DBE</t>
  </si>
  <si>
    <t>AP-06</t>
  </si>
  <si>
    <t>PHTSKPP3ZM</t>
  </si>
  <si>
    <t>EC1B5FC74D66</t>
  </si>
  <si>
    <t>AP-07</t>
  </si>
  <si>
    <t>PHTSKPP3XQ</t>
  </si>
  <si>
    <t>EC1B5FC74B84</t>
  </si>
  <si>
    <t>AP-08</t>
  </si>
  <si>
    <t>PHTSKPP3V9</t>
  </si>
  <si>
    <t>EC1B5FC749F2</t>
  </si>
  <si>
    <t>AP-09</t>
  </si>
  <si>
    <t>PHTSKPP408</t>
  </si>
  <si>
    <t>EC1B5FC749A2</t>
  </si>
  <si>
    <t>AP-10</t>
  </si>
  <si>
    <t>PHTSKPP3VB</t>
  </si>
  <si>
    <t>EC1B5FC74D48</t>
  </si>
  <si>
    <t>V202 - P0Q48A</t>
  </si>
  <si>
    <t>3CQ5512K0D</t>
  </si>
  <si>
    <t>SWITCH PARA CÁMARAS</t>
  </si>
  <si>
    <t>DS-3E1526P-EI/M</t>
  </si>
  <si>
    <t>GN4528802</t>
  </si>
  <si>
    <t>GABINETE DE LA OFICINA DEL LOTE F-05</t>
  </si>
  <si>
    <t>GN4528770</t>
  </si>
  <si>
    <t>GABINETE DE PARED EN MEDIO DEL LOTE F-05</t>
  </si>
  <si>
    <t>MOUSE</t>
  </si>
  <si>
    <t>OPTICAL MOUSE</t>
  </si>
  <si>
    <t>GABINETE DE LA OFICINA DEL LOTE F-05 (NVR DAHUA)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</si>
</sst>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782170"/>
      <name val="Aptos Narrow"/>
      <family val="2"/>
    </font>
    <font>
      <u/>
      <sz val="11"/>
      <color theme="10"/>
      <name val="Aptos Narrow"/>
      <family val="2"/>
      <scheme val="minor"/>
    </font>
    <font>
      <b/>
      <sz val="36"/>
      <color rgb="FFFF0000"/>
      <name val="Aptos Narrow"/>
      <family val="2"/>
      <scheme val="minor"/>
    </font>
    <font>
      <b/>
      <sz val="48"/>
      <color rgb="FF002060"/>
      <name val="Agency FB"/>
      <family val="2"/>
    </font>
    <font>
      <b/>
      <sz val="28"/>
      <color rgb="FF0070C0"/>
      <name val="Baskerville Old Face"/>
      <family val="1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  <charset val="1"/>
    </font>
    <font>
      <sz val="11"/>
      <color rgb="FF00206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EC9B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 style="dashDotDot">
        <color indexed="64"/>
      </bottom>
      <diagonal/>
    </border>
    <border>
      <left/>
      <right/>
      <top/>
      <bottom style="dashDotDot">
        <color indexed="64"/>
      </bottom>
      <diagonal/>
    </border>
    <border>
      <left/>
      <right style="dashDotDot">
        <color indexed="64"/>
      </right>
      <top style="dashDotDot">
        <color indexed="64"/>
      </top>
      <bottom/>
      <diagonal/>
    </border>
    <border>
      <left/>
      <right style="dashDotDot">
        <color indexed="64"/>
      </right>
      <top/>
      <bottom/>
      <diagonal/>
    </border>
    <border>
      <left/>
      <right style="dashDotDot">
        <color indexed="64"/>
      </right>
      <top/>
      <bottom style="dashDotDot">
        <color indexed="64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/>
      <diagonal/>
    </border>
    <border>
      <left/>
      <right/>
      <top style="thin">
        <color rgb="FF4EA72E"/>
      </top>
      <bottom/>
      <diagonal/>
    </border>
    <border>
      <left style="thin">
        <color rgb="FF4EA72E"/>
      </left>
      <right/>
      <top style="thin">
        <color rgb="FF4EA72E"/>
      </top>
      <bottom/>
      <diagonal/>
    </border>
    <border>
      <left/>
      <right style="thin">
        <color rgb="FF4EA72E"/>
      </right>
      <top style="thin">
        <color rgb="FF4EA72E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8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2" fontId="0" fillId="0" borderId="0" xfId="0" quotePrefix="1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" xfId="0" applyBorder="1"/>
    <xf numFmtId="0" fontId="2" fillId="4" borderId="0" xfId="0" applyFont="1" applyFill="1" applyAlignment="1">
      <alignment horizontal="center" vertical="center"/>
    </xf>
    <xf numFmtId="0" fontId="6" fillId="0" borderId="0" xfId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5" borderId="0" xfId="0" applyFill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3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6" fillId="0" borderId="0" xfId="2" applyAlignment="1">
      <alignment horizontal="center" vertical="center"/>
    </xf>
    <xf numFmtId="0" fontId="10" fillId="6" borderId="7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4" xfId="0" quotePrefix="1" applyFont="1" applyBorder="1" applyAlignment="1">
      <alignment horizontal="center" vertical="center"/>
    </xf>
    <xf numFmtId="1" fontId="5" fillId="0" borderId="14" xfId="0" applyNumberFormat="1" applyFont="1" applyBorder="1" applyAlignment="1">
      <alignment horizontal="center" vertical="center"/>
    </xf>
    <xf numFmtId="14" fontId="5" fillId="0" borderId="14" xfId="0" quotePrefix="1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6" xfId="0" quotePrefix="1" applyFont="1" applyBorder="1" applyAlignment="1">
      <alignment horizontal="center" vertical="center"/>
    </xf>
    <xf numFmtId="14" fontId="13" fillId="0" borderId="16" xfId="0" quotePrefix="1" applyNumberFormat="1" applyFont="1" applyBorder="1" applyAlignment="1">
      <alignment horizontal="center" vertical="center"/>
    </xf>
    <xf numFmtId="0" fontId="0" fillId="7" borderId="0" xfId="0" applyFill="1"/>
    <xf numFmtId="0" fontId="0" fillId="3" borderId="0" xfId="0" applyFill="1"/>
    <xf numFmtId="0" fontId="13" fillId="0" borderId="17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 wrapText="1"/>
    </xf>
    <xf numFmtId="14" fontId="13" fillId="0" borderId="16" xfId="0" applyNumberFormat="1" applyFont="1" applyBorder="1" applyAlignment="1">
      <alignment horizontal="center" vertical="center"/>
    </xf>
    <xf numFmtId="14" fontId="13" fillId="0" borderId="18" xfId="0" applyNumberFormat="1" applyFont="1" applyBorder="1" applyAlignment="1">
      <alignment horizontal="center" vertical="center"/>
    </xf>
    <xf numFmtId="1" fontId="13" fillId="0" borderId="16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0" fillId="2" borderId="0" xfId="0" applyFill="1"/>
    <xf numFmtId="0" fontId="0" fillId="5" borderId="0" xfId="0" applyFill="1" applyAlignment="1">
      <alignment horizontal="center"/>
    </xf>
    <xf numFmtId="0" fontId="8" fillId="5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183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d/mm/yyyy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none"/>
      </font>
      <alignment horizontal="center" vertical="center"/>
      <border diagonalUp="0" diagonalDown="0">
        <left/>
        <right/>
        <top style="thin">
          <color rgb="FF4EA72E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none"/>
      </font>
      <alignment horizontal="center" vertical="center"/>
      <border diagonalUp="0" diagonalDown="0">
        <left/>
        <right/>
        <top style="thin">
          <color rgb="FF4EA72E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none"/>
      </font>
      <alignment horizontal="center" vertical="center"/>
      <border diagonalUp="0" diagonalDown="0">
        <left/>
        <right/>
        <top style="thin">
          <color rgb="FF4EA72E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none"/>
      </font>
      <alignment horizontal="center" vertical="center"/>
      <border diagonalUp="0" diagonalDown="0">
        <left/>
        <right/>
        <top style="thin">
          <color rgb="FF4EA72E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none"/>
      </font>
      <alignment horizontal="center" vertical="center"/>
      <border diagonalUp="0" diagonalDown="0">
        <left/>
        <right/>
        <top style="thin">
          <color rgb="FF4EA72E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none"/>
      </font>
      <alignment horizontal="center" vertical="center"/>
      <border diagonalUp="0" diagonalDown="0">
        <left/>
        <right/>
        <top style="thin">
          <color rgb="FF4EA72E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none"/>
      </font>
      <alignment horizontal="center" vertical="center"/>
      <border diagonalUp="0" diagonalDown="0">
        <left/>
        <right/>
        <top style="thin">
          <color rgb="FF4EA72E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none"/>
      </font>
      <alignment horizontal="center" vertical="center"/>
      <border diagonalUp="0" diagonalDown="0">
        <left/>
        <right/>
        <top style="thin">
          <color rgb="FF4EA72E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none"/>
      </font>
      <numFmt numFmtId="19" formatCode="m/d/yyyy"/>
      <alignment horizontal="center" vertical="center"/>
      <border diagonalUp="0" diagonalDown="0">
        <left/>
        <right style="thin">
          <color rgb="FF4EA72E"/>
        </right>
        <top style="thin">
          <color rgb="FF4EA72E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none"/>
      </font>
      <numFmt numFmtId="19" formatCode="m/d/yyyy"/>
      <alignment horizontal="center" vertical="center"/>
      <border diagonalUp="0" diagonalDown="0">
        <left/>
        <right/>
        <top style="thin">
          <color rgb="FF4EA72E"/>
        </top>
        <bottom/>
        <vertical/>
        <horizontal/>
      </border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none"/>
      </font>
      <alignment horizontal="center" vertical="center"/>
      <border diagonalUp="0" diagonalDown="0">
        <left/>
        <right/>
        <top style="thin">
          <color rgb="FF4EA72E"/>
        </top>
        <bottom/>
        <vertical/>
        <horizontal/>
      </border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none"/>
      </font>
      <alignment horizontal="center" vertical="center"/>
      <border diagonalUp="0" diagonalDown="0">
        <left/>
        <right/>
        <top style="thin">
          <color rgb="FF4EA72E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none"/>
      </font>
      <alignment horizontal="center" vertical="center"/>
      <border diagonalUp="0" diagonalDown="0">
        <left/>
        <right/>
        <top style="thin">
          <color rgb="FF4EA72E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none"/>
      </font>
      <alignment horizontal="center" vertical="center"/>
      <border diagonalUp="0" diagonalDown="0">
        <left/>
        <right/>
        <top style="thin">
          <color rgb="FF4EA72E"/>
        </top>
        <bottom/>
        <vertical/>
        <horizontal/>
      </border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none"/>
      </font>
      <alignment horizontal="center" vertical="center"/>
      <border diagonalUp="0" diagonalDown="0">
        <left/>
        <right/>
        <top style="thin">
          <color rgb="FF4EA72E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4EA72E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none"/>
      </font>
      <alignment horizontal="center" vertical="center"/>
      <border diagonalUp="0" diagonalDown="0">
        <left/>
        <right/>
        <top style="thin">
          <color rgb="FF4EA72E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4EA72E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none"/>
      </font>
      <alignment horizontal="center" vertical="center"/>
      <border diagonalUp="0" diagonalDown="0">
        <left/>
        <right/>
        <top style="thin">
          <color rgb="FF4EA72E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none"/>
      </font>
      <alignment horizontal="center" vertical="center"/>
      <border diagonalUp="0" diagonalDown="0">
        <left style="thin">
          <color rgb="FF4EA72E"/>
        </left>
        <right/>
        <top style="thin">
          <color rgb="FF4EA72E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none"/>
      </font>
      <alignment horizontal="center" vertical="center"/>
    </dxf>
    <dxf>
      <alignment horizontal="center" vertic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99FF9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99FF99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EC9BFF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FF99"/>
      <color rgb="FFEC9BFF"/>
      <color rgb="FFCC99FF"/>
      <color rgb="FFCCCC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microsoft.com/office/2007/relationships/slicerCache" Target="slicerCaches/slicerCache3.xml"/><Relationship Id="rId39" Type="http://schemas.openxmlformats.org/officeDocument/2006/relationships/customXml" Target="../customXml/item3.xml"/><Relationship Id="rId21" Type="http://schemas.openxmlformats.org/officeDocument/2006/relationships/pivotCacheDefinition" Target="pivotCache/pivotCacheDefinition6.xml"/><Relationship Id="rId34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microsoft.com/office/2007/relationships/slicerCache" Target="slicerCaches/slicerCache2.xml"/><Relationship Id="rId33" Type="http://schemas.microsoft.com/office/2017/06/relationships/rdRichValue" Target="richData/rdrichvalue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1.xml"/><Relationship Id="rId32" Type="http://schemas.microsoft.com/office/2022/10/relationships/richValueRel" Target="richData/richValueRel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8.xml"/><Relationship Id="rId28" Type="http://schemas.openxmlformats.org/officeDocument/2006/relationships/theme" Target="theme/theme1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7.xml"/><Relationship Id="rId27" Type="http://schemas.microsoft.com/office/2007/relationships/slicerCache" Target="slicerCaches/slicerCache4.xml"/><Relationship Id="rId30" Type="http://schemas.openxmlformats.org/officeDocument/2006/relationships/sharedStrings" Target="sharedStrings.xml"/><Relationship Id="rId35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[INVENTARIO GENERAL TI - ACTUAL.xlsx]TABLAS DINÁMICAS!TablaDinámica1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</a:rPr>
              <a:t>CANTIDAD DE EQUIPOS CELULARES</a:t>
            </a:r>
          </a:p>
        </c:rich>
      </c:tx>
      <c:layout>
        <c:manualLayout>
          <c:xMode val="edge"/>
          <c:yMode val="edge"/>
          <c:x val="0.2988754904622723"/>
          <c:y val="8.8454715840566592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6"/>
        <c:spPr>
          <a:solidFill>
            <a:schemeClr val="accent4">
              <a:tint val="7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3611133293936634E-2"/>
          <c:y val="0.32843515791440669"/>
          <c:w val="0.85833333333333339"/>
          <c:h val="0.52508202099737533"/>
        </c:manualLayout>
      </c:layout>
      <c:pie3DChart>
        <c:varyColors val="1"/>
        <c:ser>
          <c:idx val="0"/>
          <c:order val="0"/>
          <c:tx>
            <c:strRef>
              <c:f>'TABLAS DINÁMICAS'!$B$7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60C1-40A0-993E-1977B800A417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0C1-40A0-993E-1977B800A4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spc="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DINÁMICAS'!$A$8:$A$10</c:f>
              <c:strCache>
                <c:ptCount val="2"/>
                <c:pt idx="0">
                  <c:v>CELULAR</c:v>
                </c:pt>
                <c:pt idx="1">
                  <c:v>LINEA</c:v>
                </c:pt>
              </c:strCache>
            </c:strRef>
          </c:cat>
          <c:val>
            <c:numRef>
              <c:f>'TABLAS DINÁMICAS'!$B$8:$B$10</c:f>
              <c:numCache>
                <c:formatCode>General</c:formatCode>
                <c:ptCount val="2"/>
                <c:pt idx="0">
                  <c:v>128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C1-40A0-993E-1977B800A4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[INVENTARIO GENERAL TI - ACTUAL.xlsx]TABLAS DINÁMICAS!TablaDinámica3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rPr>
              <a:t>CANTIDAD DE EQUIPOS LIBRES </a:t>
            </a:r>
          </a:p>
          <a:p>
            <a:pPr algn="ctr" rtl="0">
              <a:def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rPr>
              <a:t>(SIN USUARIO)</a:t>
            </a:r>
          </a:p>
        </c:rich>
      </c:tx>
      <c:layout>
        <c:manualLayout>
          <c:xMode val="edge"/>
          <c:yMode val="edge"/>
          <c:x val="0.31395822397200351"/>
          <c:y val="8.1291921843102952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6"/>
        <c:spPr>
          <a:solidFill>
            <a:schemeClr val="accent4">
              <a:tint val="7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5864629197962543E-4"/>
          <c:y val="0.35248428395326054"/>
          <c:w val="0.96527777777777779"/>
          <c:h val="0.52465113735783031"/>
        </c:manualLayout>
      </c:layout>
      <c:pie3DChart>
        <c:varyColors val="1"/>
        <c:ser>
          <c:idx val="0"/>
          <c:order val="0"/>
          <c:tx>
            <c:strRef>
              <c:f>'TABLAS DINÁMICAS'!$F$7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1BBA-42C3-BF3A-E3EBB3E39EF0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1BBA-42C3-BF3A-E3EBB3E39E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spc="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DINÁMICAS'!$E$8:$E$10</c:f>
              <c:strCache>
                <c:ptCount val="2"/>
                <c:pt idx="0">
                  <c:v>CELULAR</c:v>
                </c:pt>
                <c:pt idx="1">
                  <c:v>LINEA</c:v>
                </c:pt>
              </c:strCache>
            </c:strRef>
          </c:cat>
          <c:val>
            <c:numRef>
              <c:f>'TABLAS DINÁMICAS'!$F$8:$F$10</c:f>
              <c:numCache>
                <c:formatCode>General</c:formatCode>
                <c:ptCount val="2"/>
                <c:pt idx="0">
                  <c:v>10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BA-42C3-BF3A-E3EBB3E39EF0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[INVENTARIO GENERAL TI - ACTUAL.xlsx]TABLAS DINÁMICAS!TablaDinámica6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rPr>
              <a:t>CANTIDAD DE EQUIPOS ANTIGUOS</a:t>
            </a:r>
          </a:p>
          <a:p>
            <a:pPr algn="ctr" rtl="0">
              <a:defRPr lang="en-US" cap="all">
                <a:solidFill>
                  <a:srgbClr val="002060"/>
                </a:solidFill>
              </a:defRPr>
            </a:pPr>
            <a:r>
              <a: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rPr>
              <a:t>POR ÁREAS</a:t>
            </a:r>
          </a:p>
        </c:rich>
      </c:tx>
      <c:layout>
        <c:manualLayout>
          <c:xMode val="edge"/>
          <c:yMode val="edge"/>
          <c:x val="0.27863888888888888"/>
          <c:y val="0.132217847769028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cap="all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3556780402449693"/>
          <c:y val="0.37791229221347333"/>
          <c:w val="0.62651071741032371"/>
          <c:h val="0.487280912802566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'TABLAS DINÁMICAS'!$F$17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DINÁMICAS'!$E$18:$E$24</c:f>
              <c:strCache>
                <c:ptCount val="6"/>
                <c:pt idx="0">
                  <c:v>ADMINISTRATIVO</c:v>
                </c:pt>
                <c:pt idx="1">
                  <c:v>B2B</c:v>
                </c:pt>
                <c:pt idx="2">
                  <c:v>BI</c:v>
                </c:pt>
                <c:pt idx="3">
                  <c:v>CENTRO DE DISTRIBUCIÓN</c:v>
                </c:pt>
                <c:pt idx="4">
                  <c:v>COMERCIAL</c:v>
                </c:pt>
                <c:pt idx="5">
                  <c:v>CONTABILIDAD</c:v>
                </c:pt>
              </c:strCache>
            </c:strRef>
          </c:cat>
          <c:val>
            <c:numRef>
              <c:f>'TABLAS DINÁMICAS'!$F$18:$F$24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6-46BA-810C-BC11A280A8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6666959"/>
        <c:axId val="86667439"/>
      </c:barChart>
      <c:catAx>
        <c:axId val="86666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6667439"/>
        <c:crosses val="autoZero"/>
        <c:auto val="1"/>
        <c:lblAlgn val="ctr"/>
        <c:lblOffset val="100"/>
        <c:noMultiLvlLbl val="0"/>
      </c:catAx>
      <c:valAx>
        <c:axId val="866674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666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[INVENTARIO GENERAL TI - ACTUAL.xlsx]TABLAS DINÁMICAS!TablaDinámica7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baseline="0">
                <a:solidFill>
                  <a:srgbClr val="002060"/>
                </a:solidFill>
              </a:rPr>
              <a:t>CANTIDAD DE EQUIPOS VIGENTES</a:t>
            </a:r>
          </a:p>
          <a:p>
            <a:pPr algn="ctr" rtl="0">
              <a:defRPr lang="en-US" cap="all">
                <a:solidFill>
                  <a:srgbClr val="002060"/>
                </a:solidFill>
              </a:defRPr>
            </a:pPr>
            <a:r>
              <a:rPr lang="en-US" sz="1600" b="1" i="0" u="none" strike="noStrike" kern="1200" cap="all" baseline="0">
                <a:solidFill>
                  <a:srgbClr val="002060"/>
                </a:solidFill>
              </a:rPr>
              <a:t>POR ÁREAS</a:t>
            </a:r>
          </a:p>
        </c:rich>
      </c:tx>
      <c:layout>
        <c:manualLayout>
          <c:xMode val="edge"/>
          <c:yMode val="edge"/>
          <c:x val="0.30148869084320129"/>
          <c:y val="0.120884575479389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cap="all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740119650623663"/>
          <c:y val="0.33967705576352064"/>
          <c:w val="0.69003756125572757"/>
          <c:h val="0.5960630979494778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'TABLAS DINÁMICAS'!$F$32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'TABLAS DINÁMICAS'!$E$33:$E$51</c:f>
              <c:strCache>
                <c:ptCount val="18"/>
                <c:pt idx="0">
                  <c:v>ADMINISTRATIVO</c:v>
                </c:pt>
                <c:pt idx="1">
                  <c:v>B2B</c:v>
                </c:pt>
                <c:pt idx="2">
                  <c:v>BI</c:v>
                </c:pt>
                <c:pt idx="3">
                  <c:v>CALL CENTER</c:v>
                </c:pt>
                <c:pt idx="4">
                  <c:v>CENTRO DE DISTRIBUCIÓN</c:v>
                </c:pt>
                <c:pt idx="5">
                  <c:v>COBRANZAS</c:v>
                </c:pt>
                <c:pt idx="6">
                  <c:v>COMERCIAL</c:v>
                </c:pt>
                <c:pt idx="7">
                  <c:v>COMEX</c:v>
                </c:pt>
                <c:pt idx="8">
                  <c:v>COMPRAS</c:v>
                </c:pt>
                <c:pt idx="9">
                  <c:v>CONTABILIDAD</c:v>
                </c:pt>
                <c:pt idx="10">
                  <c:v>GC</c:v>
                </c:pt>
                <c:pt idx="11">
                  <c:v>GG</c:v>
                </c:pt>
                <c:pt idx="12">
                  <c:v>GVDN</c:v>
                </c:pt>
                <c:pt idx="13">
                  <c:v>MARKETING</c:v>
                </c:pt>
                <c:pt idx="14">
                  <c:v>PM</c:v>
                </c:pt>
                <c:pt idx="15">
                  <c:v>PRICING</c:v>
                </c:pt>
                <c:pt idx="16">
                  <c:v>RRHH</c:v>
                </c:pt>
                <c:pt idx="17">
                  <c:v>TI</c:v>
                </c:pt>
              </c:strCache>
            </c:strRef>
          </c:cat>
          <c:val>
            <c:numRef>
              <c:f>'TABLAS DINÁMICAS'!$F$33:$F$51</c:f>
              <c:numCache>
                <c:formatCode>General</c:formatCode>
                <c:ptCount val="18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30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3-40A1-89FA-A2C2F220B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56989183"/>
        <c:axId val="256989663"/>
      </c:barChart>
      <c:catAx>
        <c:axId val="256989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6989663"/>
        <c:crosses val="autoZero"/>
        <c:auto val="1"/>
        <c:lblAlgn val="ctr"/>
        <c:lblOffset val="100"/>
        <c:noMultiLvlLbl val="0"/>
      </c:catAx>
      <c:valAx>
        <c:axId val="2569896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698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[INVENTARIO GENERAL TI - ACTUAL.xlsx]TABLAS DINÁMICAS!TablaDinámica8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cap="all" spc="5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rPr>
              <a:t>CANTIDAD DE EQUIPOS POR BAJAS, ETC</a:t>
            </a:r>
          </a:p>
        </c:rich>
      </c:tx>
      <c:layout>
        <c:manualLayout>
          <c:xMode val="edge"/>
          <c:yMode val="edge"/>
          <c:x val="0.30673702992363477"/>
          <c:y val="6.30599498331073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cap="all" spc="5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>
              <a:shade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4">
              <a:shade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4">
              <a:tint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4">
              <a:tint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10291266621486472"/>
          <c:y val="0.28037498689253898"/>
          <c:w val="0.4650433099623334"/>
          <c:h val="0.6673789438143054"/>
        </c:manualLayout>
      </c:layout>
      <c:doughnutChart>
        <c:varyColors val="1"/>
        <c:ser>
          <c:idx val="0"/>
          <c:order val="0"/>
          <c:tx>
            <c:strRef>
              <c:f>'TABLAS DINÁMICAS'!$B$45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8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9B2-4C49-A161-04EFA60A4E33}"/>
              </c:ext>
            </c:extLst>
          </c:dPt>
          <c:dPt>
            <c:idx val="1"/>
            <c:bubble3D val="0"/>
            <c:spPr>
              <a:solidFill>
                <a:schemeClr val="accent4">
                  <a:shade val="8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9B2-4C49-A161-04EFA60A4E33}"/>
              </c:ext>
            </c:extLst>
          </c:dPt>
          <c:dPt>
            <c:idx val="2"/>
            <c:bubble3D val="0"/>
            <c:spPr>
              <a:solidFill>
                <a:schemeClr val="accent4">
                  <a:tint val="8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9B2-4C49-A161-04EFA60A4E33}"/>
              </c:ext>
            </c:extLst>
          </c:dPt>
          <c:dPt>
            <c:idx val="3"/>
            <c:bubble3D val="0"/>
            <c:spPr>
              <a:solidFill>
                <a:schemeClr val="accent4">
                  <a:tint val="58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9B2-4C49-A161-04EFA60A4E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DINÁMICAS'!$A$46:$A$50</c:f>
              <c:strCache>
                <c:ptCount val="4"/>
                <c:pt idx="0">
                  <c:v>BAJAS</c:v>
                </c:pt>
                <c:pt idx="1">
                  <c:v>DAÑADO</c:v>
                </c:pt>
                <c:pt idx="2">
                  <c:v>PERDIDO</c:v>
                </c:pt>
                <c:pt idx="3">
                  <c:v>ROBADO</c:v>
                </c:pt>
              </c:strCache>
            </c:strRef>
          </c:cat>
          <c:val>
            <c:numRef>
              <c:f>'TABLAS DINÁMICAS'!$B$46:$B$50</c:f>
              <c:numCache>
                <c:formatCode>General</c:formatCode>
                <c:ptCount val="4"/>
                <c:pt idx="0">
                  <c:v>9</c:v>
                </c:pt>
                <c:pt idx="1">
                  <c:v>3</c:v>
                </c:pt>
                <c:pt idx="2">
                  <c:v>1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9B2-4C49-A161-04EFA60A4E3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854637870862819"/>
          <c:y val="0.34806281635825548"/>
          <c:w val="0.33232025241985641"/>
          <c:h val="0.463357664864833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[INVENTARIO GENERAL TI - ACTUAL.xlsx]TABLAS DINÁMICAS!TablaDinámica4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baseline="0">
                <a:solidFill>
                  <a:srgbClr val="002060"/>
                </a:solidFill>
              </a:rPr>
              <a:t>CANTIDAD DE LAPTOPS</a:t>
            </a:r>
          </a:p>
        </c:rich>
      </c:tx>
      <c:layout>
        <c:manualLayout>
          <c:xMode val="edge"/>
          <c:yMode val="edge"/>
          <c:x val="0.47963353191277958"/>
          <c:y val="7.20326625838436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600" b="1" i="0" u="none" strike="noStrike" kern="1200" cap="all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4">
              <a:tint val="7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>
                      <a:shade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tint val="7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tint val="7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2053119196887125E-2"/>
          <c:y val="0.33489902303878677"/>
          <c:w val="0.87792124993272591"/>
          <c:h val="0.53897090988626417"/>
        </c:manualLayout>
      </c:layout>
      <c:pie3DChart>
        <c:varyColors val="1"/>
        <c:ser>
          <c:idx val="0"/>
          <c:order val="0"/>
          <c:tx>
            <c:strRef>
              <c:f>'TABLAS DINÁMICAS'!$B$66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AF6-44F8-84A4-A0BC8AEB39AC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AF6-44F8-84A4-A0BC8AEB39A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AF6-44F8-84A4-A0BC8AEB39A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AF6-44F8-84A4-A0BC8AEB39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spc="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DINÁMICAS'!$A$67:$A$69</c:f>
              <c:strCache>
                <c:ptCount val="2"/>
                <c:pt idx="0">
                  <c:v>DESKTOP</c:v>
                </c:pt>
                <c:pt idx="1">
                  <c:v>LAPTOP</c:v>
                </c:pt>
              </c:strCache>
            </c:strRef>
          </c:cat>
          <c:val>
            <c:numRef>
              <c:f>'TABLAS DINÁMICAS'!$B$67:$B$69</c:f>
              <c:numCache>
                <c:formatCode>General</c:formatCode>
                <c:ptCount val="2"/>
                <c:pt idx="0">
                  <c:v>12</c:v>
                </c:pt>
                <c:pt idx="1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F6-44F8-84A4-A0BC8AEB39A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[INVENTARIO GENERAL TI - ACTUAL.xlsx]TABLAS DINÁMICAS!TablaDinámica5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baseline="0">
                <a:solidFill>
                  <a:srgbClr val="002060"/>
                </a:solidFill>
              </a:rPr>
              <a:t>CANTIDAD DE LAPTOPS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>
                <a:solidFill>
                  <a:srgbClr val="002060"/>
                </a:solidFill>
              </a:defRPr>
            </a:pPr>
            <a:r>
              <a:rPr lang="en-US" sz="1600" b="1" i="0" u="none" strike="noStrike" kern="1200" cap="all" baseline="0">
                <a:solidFill>
                  <a:srgbClr val="002060"/>
                </a:solidFill>
              </a:rPr>
              <a:t>(SIN USUARIO)</a:t>
            </a:r>
          </a:p>
        </c:rich>
      </c:tx>
      <c:layout>
        <c:manualLayout>
          <c:xMode val="edge"/>
          <c:yMode val="edge"/>
          <c:x val="0.45972560550984209"/>
          <c:y val="2.0834390345796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600" b="1" i="0" u="none" strike="noStrike" kern="1200" cap="all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4">
              <a:tint val="7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>
                      <a:shade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tint val="7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tint val="7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321484012178913E-2"/>
          <c:y val="0.36023848360182348"/>
          <c:w val="0.95214260876302503"/>
          <c:h val="0.52460203255850268"/>
        </c:manualLayout>
      </c:layout>
      <c:pie3DChart>
        <c:varyColors val="1"/>
        <c:ser>
          <c:idx val="0"/>
          <c:order val="0"/>
          <c:tx>
            <c:strRef>
              <c:f>'TABLAS DINÁMICAS'!$F$66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82FE-417D-9272-DD5D85095B98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82FE-417D-9272-DD5D85095B9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2FE-417D-9272-DD5D85095B9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2FE-417D-9272-DD5D85095B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spc="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DINÁMICAS'!$E$67:$E$69</c:f>
              <c:strCache>
                <c:ptCount val="2"/>
                <c:pt idx="0">
                  <c:v>DESKTOP</c:v>
                </c:pt>
                <c:pt idx="1">
                  <c:v>LAPTOP</c:v>
                </c:pt>
              </c:strCache>
            </c:strRef>
          </c:cat>
          <c:val>
            <c:numRef>
              <c:f>'TABLAS DINÁMICAS'!$F$67:$F$69</c:f>
              <c:numCache>
                <c:formatCode>General</c:formatCode>
                <c:ptCount val="2"/>
                <c:pt idx="0">
                  <c:v>1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FE-417D-9272-DD5D85095B98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[INVENTARIO GENERAL TI - ACTUAL.xlsx]TABLAS DINÁMICAS!TablaDinámica10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baseline="0">
                <a:solidFill>
                  <a:srgbClr val="002060"/>
                </a:solidFill>
              </a:rPr>
              <a:t>CANTIDAD DE LAPTOPS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cap="all">
                <a:solidFill>
                  <a:srgbClr val="002060"/>
                </a:solidFill>
              </a:defRPr>
            </a:pPr>
            <a:r>
              <a:rPr lang="en-US" sz="1600" b="1" i="0" u="none" strike="noStrike" kern="1200" cap="all" baseline="0">
                <a:solidFill>
                  <a:srgbClr val="002060"/>
                </a:solidFill>
              </a:rPr>
              <a:t>ANTIGUAS POR ÁREAS</a:t>
            </a:r>
          </a:p>
        </c:rich>
      </c:tx>
      <c:layout>
        <c:manualLayout>
          <c:xMode val="edge"/>
          <c:yMode val="edge"/>
          <c:x val="0.4852573170414759"/>
          <c:y val="0.126888944899425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600" b="1" i="0" u="none" strike="noStrike" kern="1200" cap="all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7071958178787162"/>
          <c:y val="0.36610413696331767"/>
          <c:w val="0.59686285211463708"/>
          <c:h val="0.581342096056398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'TABLAS DINÁMICAS'!$F$76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'TABLAS DINÁMICAS'!$E$77:$E$89</c:f>
              <c:strCache>
                <c:ptCount val="12"/>
                <c:pt idx="0">
                  <c:v>ADMINISTRATIVO</c:v>
                </c:pt>
                <c:pt idx="1">
                  <c:v>B2B</c:v>
                </c:pt>
                <c:pt idx="2">
                  <c:v>CALL CENTER</c:v>
                </c:pt>
                <c:pt idx="3">
                  <c:v>CENTRO DE DISTRIBUCIÓN</c:v>
                </c:pt>
                <c:pt idx="4">
                  <c:v>COBRANZAS</c:v>
                </c:pt>
                <c:pt idx="5">
                  <c:v>COMERCIAL</c:v>
                </c:pt>
                <c:pt idx="6">
                  <c:v>COMEX</c:v>
                </c:pt>
                <c:pt idx="7">
                  <c:v>CONTABILIDAD</c:v>
                </c:pt>
                <c:pt idx="8">
                  <c:v>MARKETING</c:v>
                </c:pt>
                <c:pt idx="9">
                  <c:v>PM</c:v>
                </c:pt>
                <c:pt idx="10">
                  <c:v>PRODUCTOS</c:v>
                </c:pt>
                <c:pt idx="11">
                  <c:v>TI</c:v>
                </c:pt>
              </c:strCache>
            </c:strRef>
          </c:cat>
          <c:val>
            <c:numRef>
              <c:f>'TABLAS DINÁMICAS'!$F$77:$F$89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</c:v>
                </c:pt>
                <c:pt idx="5">
                  <c:v>9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1-4215-A790-F493D227B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57001183"/>
        <c:axId val="257005503"/>
      </c:barChart>
      <c:catAx>
        <c:axId val="257001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7005503"/>
        <c:crosses val="autoZero"/>
        <c:auto val="1"/>
        <c:lblAlgn val="ctr"/>
        <c:lblOffset val="100"/>
        <c:noMultiLvlLbl val="0"/>
      </c:catAx>
      <c:valAx>
        <c:axId val="2570055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700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[INVENTARIO GENERAL TI - ACTUAL.xlsx]TABLAS DINÁMICAS!TablaDinámica11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baseline="0">
                <a:solidFill>
                  <a:srgbClr val="002060"/>
                </a:solidFill>
              </a:rPr>
              <a:t>CANTIDAD DE LAPTOPS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cap="all">
                <a:solidFill>
                  <a:srgbClr val="002060"/>
                </a:solidFill>
              </a:defRPr>
            </a:pPr>
            <a:r>
              <a:rPr lang="en-US" sz="1600" b="1" i="0" u="none" strike="noStrike" kern="1200" cap="all" baseline="0">
                <a:solidFill>
                  <a:srgbClr val="002060"/>
                </a:solidFill>
              </a:rPr>
              <a:t>VIGENTES POR ÁREAS</a:t>
            </a:r>
          </a:p>
        </c:rich>
      </c:tx>
      <c:layout>
        <c:manualLayout>
          <c:xMode val="edge"/>
          <c:yMode val="edge"/>
          <c:x val="0.43610411198600169"/>
          <c:y val="0.118328958880139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600" b="1" i="0" u="none" strike="noStrike" kern="1200" cap="all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3275940507436569"/>
          <c:y val="0.34087525517643624"/>
          <c:w val="0.6366850393700787"/>
          <c:h val="0.608198818897637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'TABLAS DINÁMICAS'!$F$100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'TABLAS DINÁMICAS'!$E$101:$E$118</c:f>
              <c:strCache>
                <c:ptCount val="17"/>
                <c:pt idx="0">
                  <c:v>ADMINISTRATIVO</c:v>
                </c:pt>
                <c:pt idx="1">
                  <c:v>B2B</c:v>
                </c:pt>
                <c:pt idx="2">
                  <c:v>BI</c:v>
                </c:pt>
                <c:pt idx="3">
                  <c:v>CALL CENTER</c:v>
                </c:pt>
                <c:pt idx="4">
                  <c:v>CENTRO DE DISTRIBUCIÓN</c:v>
                </c:pt>
                <c:pt idx="5">
                  <c:v>COBRANZAS</c:v>
                </c:pt>
                <c:pt idx="6">
                  <c:v>COMERCIAL</c:v>
                </c:pt>
                <c:pt idx="7">
                  <c:v>COMEX</c:v>
                </c:pt>
                <c:pt idx="8">
                  <c:v>CONTABILIDAD</c:v>
                </c:pt>
                <c:pt idx="9">
                  <c:v>GAF</c:v>
                </c:pt>
                <c:pt idx="10">
                  <c:v>GC</c:v>
                </c:pt>
                <c:pt idx="11">
                  <c:v>GG</c:v>
                </c:pt>
                <c:pt idx="12">
                  <c:v>PM</c:v>
                </c:pt>
                <c:pt idx="13">
                  <c:v>PRODUCTOS</c:v>
                </c:pt>
                <c:pt idx="14">
                  <c:v>RRHH</c:v>
                </c:pt>
                <c:pt idx="15">
                  <c:v>TESORERIA</c:v>
                </c:pt>
                <c:pt idx="16">
                  <c:v>TI</c:v>
                </c:pt>
              </c:strCache>
            </c:strRef>
          </c:cat>
          <c:val>
            <c:numRef>
              <c:f>'TABLAS DINÁMICAS'!$F$101:$F$118</c:f>
              <c:numCache>
                <c:formatCode>General</c:formatCode>
                <c:ptCount val="17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8</c:v>
                </c:pt>
                <c:pt idx="4">
                  <c:v>3</c:v>
                </c:pt>
                <c:pt idx="5">
                  <c:v>6</c:v>
                </c:pt>
                <c:pt idx="6">
                  <c:v>23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B-4492-BEF9-6D39A9102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56976223"/>
        <c:axId val="256993503"/>
      </c:barChart>
      <c:catAx>
        <c:axId val="256976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6993503"/>
        <c:crosses val="autoZero"/>
        <c:auto val="1"/>
        <c:lblAlgn val="ctr"/>
        <c:lblOffset val="100"/>
        <c:noMultiLvlLbl val="0"/>
      </c:catAx>
      <c:valAx>
        <c:axId val="2569935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6976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[INVENTARIO GENERAL TI - ACTUAL.xlsx]TABLAS DINÁMICAS!TablaDinámica12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600" b="1" i="0" u="none" strike="noStrike" kern="1200" cap="all" spc="5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rPr>
              <a:t>CANTIDAD DE EQUIPOS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600">
                <a:solidFill>
                  <a:srgbClr val="002060"/>
                </a:solidFill>
              </a:defRPr>
            </a:pPr>
            <a:r>
              <a: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rPr>
              <a:t>POR BAJAS, ETC</a:t>
            </a:r>
          </a:p>
        </c:rich>
      </c:tx>
      <c:layout>
        <c:manualLayout>
          <c:xMode val="edge"/>
          <c:yMode val="edge"/>
          <c:x val="0.38569867291178767"/>
          <c:y val="3.58917073082127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600" b="1" i="0" u="none" strike="noStrike" kern="1200" cap="all" spc="5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shade val="7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4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shade val="7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4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17053458481624223"/>
          <c:y val="0.25628386417095789"/>
          <c:w val="0.46376416062746262"/>
          <c:h val="0.68521555912777343"/>
        </c:manualLayout>
      </c:layout>
      <c:doughnutChart>
        <c:varyColors val="1"/>
        <c:ser>
          <c:idx val="0"/>
          <c:order val="0"/>
          <c:tx>
            <c:strRef>
              <c:f>'TABLAS DINÁMICAS'!$B$103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A67-4B9B-BC40-E3BA600697F1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A67-4B9B-BC40-E3BA600697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DINÁMICAS'!$A$104:$A$106</c:f>
              <c:strCache>
                <c:ptCount val="2"/>
                <c:pt idx="0">
                  <c:v>BAJA</c:v>
                </c:pt>
                <c:pt idx="1">
                  <c:v>ROBADO</c:v>
                </c:pt>
              </c:strCache>
            </c:strRef>
          </c:cat>
          <c:val>
            <c:numRef>
              <c:f>'TABLAS DINÁMICAS'!$B$104:$B$106</c:f>
              <c:numCache>
                <c:formatCode>General</c:formatCode>
                <c:ptCount val="2"/>
                <c:pt idx="0">
                  <c:v>34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67-4B9B-BC40-E3BA600697F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554395864451368"/>
          <c:y val="0.44175026564586001"/>
          <c:w val="0.26698531536017012"/>
          <c:h val="0.337350443651291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[INVENTARIO GENERAL TI - ACTUAL.xlsx]TABLAS DINÁMICAS!TablaDinámica13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rPr>
              <a:t>CANTIDAD DE EQUIPOS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600" b="1" i="0" u="none" strike="noStrike" kern="1200" cap="all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DINÁMICAS'!$B$128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DINÁMICAS'!$A$129:$A$131</c:f>
              <c:strCache>
                <c:ptCount val="2"/>
                <c:pt idx="0">
                  <c:v>ESTABILIZADOR</c:v>
                </c:pt>
                <c:pt idx="1">
                  <c:v>IMPRESORA</c:v>
                </c:pt>
              </c:strCache>
            </c:strRef>
          </c:cat>
          <c:val>
            <c:numRef>
              <c:f>'TABLAS DINÁMICAS'!$B$129:$B$131</c:f>
              <c:numCache>
                <c:formatCode>General</c:formatCode>
                <c:ptCount val="2"/>
                <c:pt idx="0">
                  <c:v>3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2-4475-AE09-A363BDCE72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56935903"/>
        <c:axId val="256927263"/>
      </c:barChart>
      <c:catAx>
        <c:axId val="256935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6927263"/>
        <c:crosses val="autoZero"/>
        <c:auto val="1"/>
        <c:lblAlgn val="ctr"/>
        <c:lblOffset val="100"/>
        <c:noMultiLvlLbl val="0"/>
      </c:catAx>
      <c:valAx>
        <c:axId val="2569272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693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[INVENTARIO GENERAL TI - ACTUAL.xlsx]TABLAS DINÁMICAS!TablaDinámica14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baseline="0">
                <a:solidFill>
                  <a:srgbClr val="002060"/>
                </a:solidFill>
              </a:rPr>
              <a:t>CANTIDAD DE EQUIPOS</a:t>
            </a:r>
            <a:r>
              <a: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rPr>
              <a:t> POR SEDE</a:t>
            </a:r>
            <a:endParaRPr lang="en-US" sz="1600" b="1" i="0" u="none" strike="noStrike" kern="1200" cap="all" baseline="0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600" b="1" i="0" u="none" strike="noStrike" kern="1200" cap="all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DINÁMICAS'!$F$128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DINÁMICAS'!$E$129:$E$133</c:f>
              <c:strCache>
                <c:ptCount val="4"/>
                <c:pt idx="0">
                  <c:v>CENTRO DE DISTRIBUCIÓN</c:v>
                </c:pt>
                <c:pt idx="1">
                  <c:v>SAN ISIDRO</c:v>
                </c:pt>
                <c:pt idx="2">
                  <c:v>SAN ISIDRO (A LADO DE PILAR ROMERO)</c:v>
                </c:pt>
                <c:pt idx="3">
                  <c:v>SAN ISIDRO (A LADO DE DENNIZ GONIA)</c:v>
                </c:pt>
              </c:strCache>
            </c:strRef>
          </c:cat>
          <c:val>
            <c:numRef>
              <c:f>'TABLAS DINÁMICAS'!$F$129:$F$133</c:f>
              <c:numCache>
                <c:formatCode>General</c:formatCode>
                <c:ptCount val="4"/>
                <c:pt idx="0">
                  <c:v>19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C3-4053-8DD0-A4446C7FB6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6677999"/>
        <c:axId val="86676079"/>
      </c:barChart>
      <c:catAx>
        <c:axId val="8667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6676079"/>
        <c:crosses val="autoZero"/>
        <c:auto val="1"/>
        <c:lblAlgn val="ctr"/>
        <c:lblOffset val="100"/>
        <c:noMultiLvlLbl val="0"/>
      </c:catAx>
      <c:valAx>
        <c:axId val="866760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667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[INVENTARIO GENERAL TI - ACTUAL.xlsx]TABLAS DINÁMICAS!TablaDinámica21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rPr>
              <a:t>CANTIDAD DE EQUIPOS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cap="all">
                <a:solidFill>
                  <a:srgbClr val="002060"/>
                </a:solidFill>
              </a:defRPr>
            </a:pPr>
            <a:r>
              <a: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rPr>
              <a:t>POR MARCAS</a:t>
            </a:r>
          </a:p>
        </c:rich>
      </c:tx>
      <c:layout>
        <c:manualLayout>
          <c:xMode val="edge"/>
          <c:yMode val="edge"/>
          <c:x val="0.42709797745869998"/>
          <c:y val="5.57081527599747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600" b="1" i="0" u="none" strike="noStrike" kern="1200" cap="all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4">
                  <a:shade val="53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53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5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4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4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4">
                  <a:tint val="54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54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54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9.9549297514281321E-2"/>
          <c:y val="0.26040611202669434"/>
          <c:w val="0.40168596572487258"/>
          <c:h val="0.66169199780260013"/>
        </c:manualLayout>
      </c:layout>
      <c:pieChart>
        <c:varyColors val="1"/>
        <c:ser>
          <c:idx val="0"/>
          <c:order val="0"/>
          <c:tx>
            <c:strRef>
              <c:f>'TABLAS DINÁMICAS'!$B$137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058-4DCC-8B7C-87698E16C26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058-4DCC-8B7C-87698E16C26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058-4DCC-8B7C-87698E16C26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058-4DCC-8B7C-87698E16C26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tint val="5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5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5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058-4DCC-8B7C-87698E16C2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DINÁMICAS'!$A$138:$A$143</c:f>
              <c:strCache>
                <c:ptCount val="5"/>
                <c:pt idx="0">
                  <c:v>DP</c:v>
                </c:pt>
                <c:pt idx="1">
                  <c:v>EPSON</c:v>
                </c:pt>
                <c:pt idx="2">
                  <c:v>HP</c:v>
                </c:pt>
                <c:pt idx="3">
                  <c:v>RICOH</c:v>
                </c:pt>
                <c:pt idx="4">
                  <c:v>ZEBRA</c:v>
                </c:pt>
              </c:strCache>
            </c:strRef>
          </c:cat>
          <c:val>
            <c:numRef>
              <c:f>'TABLAS DINÁMICAS'!$B$138:$B$143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58-4DCC-8B7C-87698E16C26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117647058823525"/>
          <c:y val="0.33826730960955459"/>
          <c:w val="0.26980392156862743"/>
          <c:h val="0.573153065169179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[INVENTARIO GENERAL TI - ACTUAL.xlsx]TABLAS DINÁMICAS!TablaDinámica17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rPr>
              <a:t>CANTIDAD DE MONITORES POR ÁREAS</a:t>
            </a:r>
          </a:p>
        </c:rich>
      </c:tx>
      <c:layout>
        <c:manualLayout>
          <c:xMode val="edge"/>
          <c:yMode val="edge"/>
          <c:x val="0.34221806369267826"/>
          <c:y val="6.37425303386892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600" b="1" i="0" u="none" strike="noStrike" kern="1200" cap="all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252034672136572"/>
          <c:y val="0.22374601698772895"/>
          <c:w val="0.6437300090687933"/>
          <c:h val="0.7209080783721223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'TABLAS DINÁMICAS'!$F$152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'TABLAS DINÁMICAS'!$E$153:$E$168</c:f>
              <c:strCache>
                <c:ptCount val="15"/>
                <c:pt idx="0">
                  <c:v>BI</c:v>
                </c:pt>
                <c:pt idx="1">
                  <c:v>CALL CENTER</c:v>
                </c:pt>
                <c:pt idx="2">
                  <c:v>CENTRO DE DISTRIBUCIÓN</c:v>
                </c:pt>
                <c:pt idx="3">
                  <c:v>COBRANZAS</c:v>
                </c:pt>
                <c:pt idx="4">
                  <c:v>COMERCIAL</c:v>
                </c:pt>
                <c:pt idx="5">
                  <c:v>COMEX</c:v>
                </c:pt>
                <c:pt idx="6">
                  <c:v>COMPRAS</c:v>
                </c:pt>
                <c:pt idx="7">
                  <c:v>CONTABILIDAD</c:v>
                </c:pt>
                <c:pt idx="8">
                  <c:v>GAF</c:v>
                </c:pt>
                <c:pt idx="9">
                  <c:v>GC</c:v>
                </c:pt>
                <c:pt idx="10">
                  <c:v>GG</c:v>
                </c:pt>
                <c:pt idx="11">
                  <c:v>GVDN</c:v>
                </c:pt>
                <c:pt idx="12">
                  <c:v>PRODUCTOS</c:v>
                </c:pt>
                <c:pt idx="13">
                  <c:v>TESORERÍA</c:v>
                </c:pt>
                <c:pt idx="14">
                  <c:v>TI</c:v>
                </c:pt>
              </c:strCache>
            </c:strRef>
          </c:cat>
          <c:val>
            <c:numRef>
              <c:f>'TABLAS DINÁMICAS'!$F$153:$F$168</c:f>
              <c:numCache>
                <c:formatCode>General</c:formatCode>
                <c:ptCount val="15"/>
                <c:pt idx="0">
                  <c:v>1</c:v>
                </c:pt>
                <c:pt idx="1">
                  <c:v>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B-4321-93C4-26E2DC492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57020863"/>
        <c:axId val="257016543"/>
      </c:barChart>
      <c:catAx>
        <c:axId val="257020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7016543"/>
        <c:crosses val="autoZero"/>
        <c:auto val="1"/>
        <c:lblAlgn val="ctr"/>
        <c:lblOffset val="100"/>
        <c:noMultiLvlLbl val="0"/>
      </c:catAx>
      <c:valAx>
        <c:axId val="257016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7020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[INVENTARIO GENERAL TI - ACTUAL.xlsx]TABLAS DINÁMICAS!TablaDinámica18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rPr>
              <a:t>CANTIDAD DE EQUIPOS</a:t>
            </a:r>
          </a:p>
        </c:rich>
      </c:tx>
      <c:layout>
        <c:manualLayout>
          <c:xMode val="edge"/>
          <c:yMode val="edge"/>
          <c:x val="0.38869993316243689"/>
          <c:y val="5.9164297828152627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4">
              <a:tint val="7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>
                      <a:shade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tint val="7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8"/>
        <c:spPr>
          <a:solidFill>
            <a:schemeClr val="accent4">
              <a:tint val="7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>
            <c:manualLayout>
              <c:x val="5.3178258967629045E-2"/>
              <c:y val="2.16349518810148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3555958221643777E-2"/>
          <c:y val="0.29997634502584003"/>
          <c:w val="0.90930803505859026"/>
          <c:h val="0.64826817523925606"/>
        </c:manualLayout>
      </c:layout>
      <c:pie3DChart>
        <c:varyColors val="1"/>
        <c:ser>
          <c:idx val="0"/>
          <c:order val="0"/>
          <c:tx>
            <c:strRef>
              <c:f>'TABLAS DINÁMICAS'!$B$178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380A-4927-813D-E6524EDA5575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380A-4927-813D-E6524EDA5575}"/>
              </c:ext>
            </c:extLst>
          </c:dPt>
          <c:dLbls>
            <c:dLbl>
              <c:idx val="1"/>
              <c:layout>
                <c:manualLayout>
                  <c:x val="5.3178258967629045E-2"/>
                  <c:y val="2.163495188101487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0A-4927-813D-E6524EDA55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spc="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DINÁMICAS'!$A$179:$A$181</c:f>
              <c:strCache>
                <c:ptCount val="2"/>
                <c:pt idx="0">
                  <c:v>MODEM</c:v>
                </c:pt>
                <c:pt idx="1">
                  <c:v>ROUTER</c:v>
                </c:pt>
              </c:strCache>
            </c:strRef>
          </c:cat>
          <c:val>
            <c:numRef>
              <c:f>'TABLAS DINÁMICAS'!$B$179:$B$181</c:f>
              <c:numCache>
                <c:formatCode>General</c:formatCode>
                <c:ptCount val="2"/>
                <c:pt idx="0">
                  <c:v>18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0A-4927-813D-E6524EDA5575}"/>
            </c:ext>
          </c:extLst>
        </c:ser>
        <c:dLbls>
          <c:dLblPos val="bestFit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[INVENTARIO GENERAL TI - ACTUAL.xlsx]TABLAS DINÁMICAS!TablaDinámica19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rPr>
              <a:t>CANTIDAD DE EQUIPOS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cap="all">
                <a:solidFill>
                  <a:srgbClr val="002060"/>
                </a:solidFill>
              </a:defRPr>
            </a:pPr>
            <a:r>
              <a: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rPr>
              <a:t>POR ÁREAS</a:t>
            </a:r>
          </a:p>
        </c:rich>
      </c:tx>
      <c:layout>
        <c:manualLayout>
          <c:xMode val="edge"/>
          <c:yMode val="edge"/>
          <c:x val="0.39597823571801644"/>
          <c:y val="5.949256342957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600" b="1" i="0" u="none" strike="noStrike" kern="1200" cap="all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DINÁMICAS'!$F$178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'TABLAS DINÁMICAS'!$E$179:$E$184</c:f>
              <c:multiLvlStrCache>
                <c:ptCount val="3"/>
                <c:lvl>
                  <c:pt idx="0">
                    <c:v>B2B</c:v>
                  </c:pt>
                  <c:pt idx="1">
                    <c:v>COMERCIAL</c:v>
                  </c:pt>
                  <c:pt idx="2">
                    <c:v>COMERCIAL</c:v>
                  </c:pt>
                </c:lvl>
                <c:lvl>
                  <c:pt idx="0">
                    <c:v>MODEM</c:v>
                  </c:pt>
                  <c:pt idx="2">
                    <c:v>ROUTER</c:v>
                  </c:pt>
                </c:lvl>
              </c:multiLvlStrCache>
            </c:multiLvlStrRef>
          </c:cat>
          <c:val>
            <c:numRef>
              <c:f>'TABLAS DINÁMICAS'!$F$179:$F$184</c:f>
              <c:numCache>
                <c:formatCode>General</c:formatCode>
                <c:ptCount val="3"/>
                <c:pt idx="0">
                  <c:v>9</c:v>
                </c:pt>
                <c:pt idx="1">
                  <c:v>9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A-489F-AE4E-47F4366E8E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56997823"/>
        <c:axId val="257000223"/>
      </c:barChart>
      <c:catAx>
        <c:axId val="25699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7000223"/>
        <c:crosses val="autoZero"/>
        <c:auto val="1"/>
        <c:lblAlgn val="ctr"/>
        <c:lblOffset val="100"/>
        <c:noMultiLvlLbl val="0"/>
      </c:catAx>
      <c:valAx>
        <c:axId val="2570002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5699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[INVENTARIO GENERAL TI - ACTUAL.xlsx]TABLAS DINÁMICAS!TablaDinámica20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rPr>
              <a:t>CANTIDAD DE TRFS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600" b="1" i="0" u="none" strike="noStrike" kern="1200" cap="all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295036984013358"/>
          <c:y val="0.22806474190726159"/>
          <c:w val="0.6643223574325936"/>
          <c:h val="0.749713035870516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'TABLAS DINÁMICAS'!$B$193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DINÁMICAS'!$A$194:$A$197</c:f>
              <c:strCache>
                <c:ptCount val="3"/>
                <c:pt idx="0">
                  <c:v>BAJA</c:v>
                </c:pt>
                <c:pt idx="1">
                  <c:v>DEPRECIADO</c:v>
                </c:pt>
                <c:pt idx="2">
                  <c:v>OK</c:v>
                </c:pt>
              </c:strCache>
            </c:strRef>
          </c:cat>
          <c:val>
            <c:numRef>
              <c:f>'TABLAS DINÁMICAS'!$B$194:$B$197</c:f>
              <c:numCache>
                <c:formatCode>General</c:formatCode>
                <c:ptCount val="3"/>
                <c:pt idx="0">
                  <c:v>1</c:v>
                </c:pt>
                <c:pt idx="1">
                  <c:v>25</c:v>
                </c:pt>
                <c:pt idx="2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F-4AF7-8163-D9C71902F5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39534383"/>
        <c:axId val="539534863"/>
      </c:barChart>
      <c:catAx>
        <c:axId val="539534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39534863"/>
        <c:crosses val="autoZero"/>
        <c:auto val="1"/>
        <c:lblAlgn val="ctr"/>
        <c:lblOffset val="100"/>
        <c:noMultiLvlLbl val="0"/>
      </c:catAx>
      <c:valAx>
        <c:axId val="5395348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3953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[INVENTARIO GENERAL TI - ACTUAL.xlsx]TABLAS DINÁMICAS!TablaDinámica22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600" b="1" i="0" u="none" strike="noStrike" kern="1200" cap="all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baseline="0">
                <a:solidFill>
                  <a:srgbClr val="002060"/>
                </a:solidFill>
              </a:rPr>
              <a:t>CANTIDAD DE TRFS POR MODELO</a:t>
            </a:r>
          </a:p>
        </c:rich>
      </c:tx>
      <c:layout>
        <c:manualLayout>
          <c:xMode val="edge"/>
          <c:yMode val="edge"/>
          <c:x val="0.30309106374754763"/>
          <c:y val="9.9257200693050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600" b="1" i="0" u="none" strike="noStrike" kern="1200" cap="all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881967526366142"/>
          <c:y val="0.23666477964764207"/>
          <c:w val="0.75580547352069793"/>
          <c:h val="0.715404937127957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'TABLAS DINÁMICAS'!$F$193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DINÁMICAS'!$E$194:$E$197</c:f>
              <c:strCache>
                <c:ptCount val="3"/>
                <c:pt idx="0">
                  <c:v>MC32</c:v>
                </c:pt>
                <c:pt idx="1">
                  <c:v>MC33</c:v>
                </c:pt>
                <c:pt idx="2">
                  <c:v>MC34</c:v>
                </c:pt>
              </c:strCache>
            </c:strRef>
          </c:cat>
          <c:val>
            <c:numRef>
              <c:f>'TABLAS DINÁMICAS'!$F$194:$F$197</c:f>
              <c:numCache>
                <c:formatCode>General</c:formatCode>
                <c:ptCount val="3"/>
                <c:pt idx="0">
                  <c:v>20</c:v>
                </c:pt>
                <c:pt idx="1">
                  <c:v>48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6-495E-B13D-84A81F8E6B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39557903"/>
        <c:axId val="539555023"/>
      </c:barChart>
      <c:catAx>
        <c:axId val="539557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39555023"/>
        <c:crosses val="autoZero"/>
        <c:auto val="1"/>
        <c:lblAlgn val="ctr"/>
        <c:lblOffset val="100"/>
        <c:noMultiLvlLbl val="0"/>
      </c:catAx>
      <c:valAx>
        <c:axId val="5395550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3955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164727</xdr:colOff>
      <xdr:row>9</xdr:row>
      <xdr:rowOff>13446</xdr:rowOff>
    </xdr:from>
    <xdr:to>
      <xdr:col>6</xdr:col>
      <xdr:colOff>257735</xdr:colOff>
      <xdr:row>24</xdr:row>
      <xdr:rowOff>99172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4D8F3F-0938-4DBC-A3F2-26A8FBF61B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369794</xdr:colOff>
      <xdr:row>9</xdr:row>
      <xdr:rowOff>13607</xdr:rowOff>
    </xdr:from>
    <xdr:to>
      <xdr:col>12</xdr:col>
      <xdr:colOff>616324</xdr:colOff>
      <xdr:row>24</xdr:row>
      <xdr:rowOff>103254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6559D0-9E46-4A26-B6BB-09FAB8BC7BC8}"/>
            </a:ext>
            <a:ext uri="{147F2762-F138-4A5C-976F-8EAC2B608ADB}">
              <a16:predDERef xmlns:a16="http://schemas.microsoft.com/office/drawing/2014/main" pred="{C14D8F3F-0938-4DBC-A3F2-26A8FBF61B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156885</xdr:colOff>
      <xdr:row>25</xdr:row>
      <xdr:rowOff>11207</xdr:rowOff>
    </xdr:from>
    <xdr:to>
      <xdr:col>5</xdr:col>
      <xdr:colOff>571500</xdr:colOff>
      <xdr:row>39</xdr:row>
      <xdr:rowOff>87407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BD02280-BF13-47FF-901F-C4F3BD5C918D}"/>
            </a:ext>
            <a:ext uri="{147F2762-F138-4A5C-976F-8EAC2B608ADB}">
              <a16:predDERef xmlns:a16="http://schemas.microsoft.com/office/drawing/2014/main" pred="{4C6559D0-9E46-4A26-B6BB-09FAB8BC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649941</xdr:colOff>
      <xdr:row>25</xdr:row>
      <xdr:rowOff>11205</xdr:rowOff>
    </xdr:from>
    <xdr:to>
      <xdr:col>11</xdr:col>
      <xdr:colOff>381001</xdr:colOff>
      <xdr:row>39</xdr:row>
      <xdr:rowOff>134470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27EE876-D1D6-445C-B73C-667D265D663B}"/>
            </a:ext>
            <a:ext uri="{147F2762-F138-4A5C-976F-8EAC2B608ADB}">
              <a16:predDERef xmlns:a16="http://schemas.microsoft.com/office/drawing/2014/main" pred="{9BD02280-BF13-47FF-901F-C4F3BD5C9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142472</xdr:colOff>
      <xdr:row>9</xdr:row>
      <xdr:rowOff>3203</xdr:rowOff>
    </xdr:from>
    <xdr:to>
      <xdr:col>15</xdr:col>
      <xdr:colOff>593685</xdr:colOff>
      <xdr:row>14</xdr:row>
      <xdr:rowOff>41304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TIPO EQUIPO">
              <a:extLst>
                <a:ext uri="{FF2B5EF4-FFF2-40B4-BE49-F238E27FC236}">
                  <a16:creationId xmlns:a16="http://schemas.microsoft.com/office/drawing/2014/main" id="{E80642AC-9536-460D-B65F-FD269E7490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EQU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48472" y="1717703"/>
              <a:ext cx="1975213" cy="9906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145838</xdr:colOff>
      <xdr:row>14</xdr:row>
      <xdr:rowOff>127186</xdr:rowOff>
    </xdr:from>
    <xdr:to>
      <xdr:col>15</xdr:col>
      <xdr:colOff>583988</xdr:colOff>
      <xdr:row>24</xdr:row>
      <xdr:rowOff>67235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ÁREA">
              <a:extLst>
                <a:ext uri="{FF2B5EF4-FFF2-40B4-BE49-F238E27FC236}">
                  <a16:creationId xmlns:a16="http://schemas.microsoft.com/office/drawing/2014/main" id="{F84FE5E4-00D9-90AA-0C1B-3B014F481B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ÁRE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51838" y="2794186"/>
              <a:ext cx="1962150" cy="18450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11</xdr:col>
      <xdr:colOff>443753</xdr:colOff>
      <xdr:row>25</xdr:row>
      <xdr:rowOff>26333</xdr:rowOff>
    </xdr:from>
    <xdr:to>
      <xdr:col>16</xdr:col>
      <xdr:colOff>616324</xdr:colOff>
      <xdr:row>39</xdr:row>
      <xdr:rowOff>134470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B22BCC8-8BAF-41AA-AC01-0F2FE1D2FE62}"/>
            </a:ext>
            <a:ext uri="{147F2762-F138-4A5C-976F-8EAC2B608ADB}">
              <a16:predDERef xmlns:a16="http://schemas.microsoft.com/office/drawing/2014/main" pred="{F84FE5E4-00D9-90AA-0C1B-3B014F481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89646</xdr:colOff>
      <xdr:row>45</xdr:row>
      <xdr:rowOff>11206</xdr:rowOff>
    </xdr:from>
    <xdr:to>
      <xdr:col>6</xdr:col>
      <xdr:colOff>403411</xdr:colOff>
      <xdr:row>59</xdr:row>
      <xdr:rowOff>87406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E0C6622-B7B0-45B1-9ECB-902CE5A7A034}"/>
            </a:ext>
            <a:ext uri="{147F2762-F138-4A5C-976F-8EAC2B608ADB}">
              <a16:predDERef xmlns:a16="http://schemas.microsoft.com/office/drawing/2014/main" pred="{FB22BCC8-8BAF-41AA-AC01-0F2FE1D2F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504265</xdr:colOff>
      <xdr:row>44</xdr:row>
      <xdr:rowOff>190499</xdr:rowOff>
    </xdr:from>
    <xdr:to>
      <xdr:col>12</xdr:col>
      <xdr:colOff>672353</xdr:colOff>
      <xdr:row>59</xdr:row>
      <xdr:rowOff>112058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3A8ECF4-265B-41A4-9F42-17DAFFB1133B}"/>
            </a:ext>
            <a:ext uri="{147F2762-F138-4A5C-976F-8EAC2B608ADB}">
              <a16:predDERef xmlns:a16="http://schemas.microsoft.com/office/drawing/2014/main" pred="{3E0C6622-B7B0-45B1-9ECB-902CE5A7A0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105238</xdr:colOff>
      <xdr:row>60</xdr:row>
      <xdr:rowOff>25334</xdr:rowOff>
    </xdr:from>
    <xdr:to>
      <xdr:col>5</xdr:col>
      <xdr:colOff>604630</xdr:colOff>
      <xdr:row>74</xdr:row>
      <xdr:rowOff>76199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9A72863-86C0-4A3C-A3C8-14CED5E03EAE}"/>
            </a:ext>
            <a:ext uri="{147F2762-F138-4A5C-976F-8EAC2B608ADB}">
              <a16:predDERef xmlns:a16="http://schemas.microsoft.com/office/drawing/2014/main" pred="{C3A8ECF4-265B-41A4-9F42-17DAFFB11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646043</xdr:colOff>
      <xdr:row>60</xdr:row>
      <xdr:rowOff>16565</xdr:rowOff>
    </xdr:from>
    <xdr:to>
      <xdr:col>11</xdr:col>
      <xdr:colOff>339587</xdr:colOff>
      <xdr:row>74</xdr:row>
      <xdr:rowOff>92765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E76FA342-3177-4329-8542-10D2ACEED593}"/>
            </a:ext>
            <a:ext uri="{147F2762-F138-4A5C-976F-8EAC2B608ADB}">
              <a16:predDERef xmlns:a16="http://schemas.microsoft.com/office/drawing/2014/main" pred="{B9A72863-86C0-4A3C-A3C8-14CED5E03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409574</xdr:colOff>
      <xdr:row>60</xdr:row>
      <xdr:rowOff>28574</xdr:rowOff>
    </xdr:from>
    <xdr:to>
      <xdr:col>16</xdr:col>
      <xdr:colOff>666749</xdr:colOff>
      <xdr:row>74</xdr:row>
      <xdr:rowOff>114299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FA1A186A-EBA1-4550-8632-F1896CB0F2AB}"/>
            </a:ext>
            <a:ext uri="{147F2762-F138-4A5C-976F-8EAC2B608ADB}">
              <a16:predDERef xmlns:a16="http://schemas.microsoft.com/office/drawing/2014/main" pred="{E76FA342-3177-4329-8542-10D2ACEED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13</xdr:col>
      <xdr:colOff>428624</xdr:colOff>
      <xdr:row>44</xdr:row>
      <xdr:rowOff>133351</xdr:rowOff>
    </xdr:from>
    <xdr:to>
      <xdr:col>16</xdr:col>
      <xdr:colOff>152400</xdr:colOff>
      <xdr:row>49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TIPO DE EQUIPO">
              <a:extLst>
                <a:ext uri="{FF2B5EF4-FFF2-40B4-BE49-F238E27FC236}">
                  <a16:creationId xmlns:a16="http://schemas.microsoft.com/office/drawing/2014/main" id="{F83B0C20-E965-4C6F-94C1-6E20CA660B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EQU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34624" y="8515351"/>
              <a:ext cx="2009776" cy="10001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428624</xdr:colOff>
      <xdr:row>50</xdr:row>
      <xdr:rowOff>47625</xdr:rowOff>
    </xdr:from>
    <xdr:to>
      <xdr:col>16</xdr:col>
      <xdr:colOff>152399</xdr:colOff>
      <xdr:row>59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ÁREA 1">
              <a:extLst>
                <a:ext uri="{FF2B5EF4-FFF2-40B4-BE49-F238E27FC236}">
                  <a16:creationId xmlns:a16="http://schemas.microsoft.com/office/drawing/2014/main" id="{27881CB0-C7A8-4708-95F3-090011E62D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ÁRE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34624" y="9572625"/>
              <a:ext cx="2009775" cy="1771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76199</xdr:colOff>
      <xdr:row>79</xdr:row>
      <xdr:rowOff>161925</xdr:rowOff>
    </xdr:from>
    <xdr:to>
      <xdr:col>5</xdr:col>
      <xdr:colOff>657224</xdr:colOff>
      <xdr:row>92</xdr:row>
      <xdr:rowOff>104775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38CB2383-5C1E-4052-99C8-5AEA81B676F5}"/>
            </a:ext>
            <a:ext uri="{147F2762-F138-4A5C-976F-8EAC2B608ADB}">
              <a16:predDERef xmlns:a16="http://schemas.microsoft.com/office/drawing/2014/main" pred="{27881CB0-C7A8-4708-95F3-090011E62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79</xdr:row>
      <xdr:rowOff>171450</xdr:rowOff>
    </xdr:from>
    <xdr:to>
      <xdr:col>11</xdr:col>
      <xdr:colOff>390525</xdr:colOff>
      <xdr:row>92</xdr:row>
      <xdr:rowOff>114300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28B70ED-1FDE-495E-9341-B337D59A0518}"/>
            </a:ext>
            <a:ext uri="{147F2762-F138-4A5C-976F-8EAC2B608ADB}">
              <a16:predDERef xmlns:a16="http://schemas.microsoft.com/office/drawing/2014/main" pred="{38CB2383-5C1E-4052-99C8-5AEA81B676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428625</xdr:colOff>
      <xdr:row>79</xdr:row>
      <xdr:rowOff>161925</xdr:rowOff>
    </xdr:from>
    <xdr:to>
      <xdr:col>16</xdr:col>
      <xdr:colOff>666750</xdr:colOff>
      <xdr:row>92</xdr:row>
      <xdr:rowOff>123825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8255B455-D41D-4E8A-B193-42580FDF3C88}"/>
            </a:ext>
            <a:ext uri="{147F2762-F138-4A5C-976F-8EAC2B608ADB}">
              <a16:predDERef xmlns:a16="http://schemas.microsoft.com/office/drawing/2014/main" pred="{028B70ED-1FDE-495E-9341-B337D59A05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47624</xdr:colOff>
      <xdr:row>97</xdr:row>
      <xdr:rowOff>180975</xdr:rowOff>
    </xdr:from>
    <xdr:to>
      <xdr:col>6</xdr:col>
      <xdr:colOff>685799</xdr:colOff>
      <xdr:row>111</xdr:row>
      <xdr:rowOff>95250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FDA9AC6B-B918-44E6-AD24-29FC46895567}"/>
            </a:ext>
            <a:ext uri="{147F2762-F138-4A5C-976F-8EAC2B608ADB}">
              <a16:predDERef xmlns:a16="http://schemas.microsoft.com/office/drawing/2014/main" pred="{8255B455-D41D-4E8A-B193-42580FDF3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107497</xdr:colOff>
      <xdr:row>98</xdr:row>
      <xdr:rowOff>20410</xdr:rowOff>
    </xdr:from>
    <xdr:to>
      <xdr:col>11</xdr:col>
      <xdr:colOff>666750</xdr:colOff>
      <xdr:row>111</xdr:row>
      <xdr:rowOff>38100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75696200-0A9E-4D3A-B5D3-FA8638C7D592}"/>
            </a:ext>
            <a:ext uri="{147F2762-F138-4A5C-976F-8EAC2B608ADB}">
              <a16:predDERef xmlns:a16="http://schemas.microsoft.com/office/drawing/2014/main" pred="{FDA9AC6B-B918-44E6-AD24-29FC46895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704850</xdr:colOff>
      <xdr:row>98</xdr:row>
      <xdr:rowOff>0</xdr:rowOff>
    </xdr:from>
    <xdr:to>
      <xdr:col>16</xdr:col>
      <xdr:colOff>676275</xdr:colOff>
      <xdr:row>111</xdr:row>
      <xdr:rowOff>38100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49D90FE8-B35F-4769-948C-89D6ED29CB08}"/>
            </a:ext>
            <a:ext uri="{147F2762-F138-4A5C-976F-8EAC2B608ADB}">
              <a16:predDERef xmlns:a16="http://schemas.microsoft.com/office/drawing/2014/main" pred="{75696200-0A9E-4D3A-B5D3-FA8638C7D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142874</xdr:colOff>
      <xdr:row>117</xdr:row>
      <xdr:rowOff>47625</xdr:rowOff>
    </xdr:from>
    <xdr:to>
      <xdr:col>7</xdr:col>
      <xdr:colOff>476249</xdr:colOff>
      <xdr:row>132</xdr:row>
      <xdr:rowOff>47625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4C45B088-F38A-4053-9B5D-97BCE19EAFA8}"/>
            </a:ext>
            <a:ext uri="{147F2762-F138-4A5C-976F-8EAC2B608ADB}">
              <a16:predDERef xmlns:a16="http://schemas.microsoft.com/office/drawing/2014/main" pred="{49D90FE8-B35F-4769-948C-89D6ED29C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600074</xdr:colOff>
      <xdr:row>117</xdr:row>
      <xdr:rowOff>38100</xdr:rowOff>
    </xdr:from>
    <xdr:to>
      <xdr:col>15</xdr:col>
      <xdr:colOff>9525</xdr:colOff>
      <xdr:row>132</xdr:row>
      <xdr:rowOff>95250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87E22260-6E25-4E46-A8B7-EF54D21FC907}"/>
            </a:ext>
            <a:ext uri="{147F2762-F138-4A5C-976F-8EAC2B608ADB}">
              <a16:predDERef xmlns:a16="http://schemas.microsoft.com/office/drawing/2014/main" pred="{4C45B088-F38A-4053-9B5D-97BCE19EAF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ella Vargas" refreshedDate="46127.416251504626" createdVersion="8" refreshedVersion="8" minRefreshableVersion="3" recordCount="26" xr:uid="{9285A128-C9AC-42AF-8EB3-4499DDCB61BC}">
  <cacheSource type="worksheet">
    <worksheetSource name="Tabla61821"/>
  </cacheSource>
  <cacheFields count="18">
    <cacheField name="N°" numFmtId="0">
      <sharedItems containsSemiMixedTypes="0" containsString="0" containsNumber="1" containsInteger="1" minValue="1" maxValue="26"/>
    </cacheField>
    <cacheField name="USUARIO" numFmtId="0">
      <sharedItems/>
    </cacheField>
    <cacheField name="TIPO EQUIPO" numFmtId="0">
      <sharedItems/>
    </cacheField>
    <cacheField name="ÁREA" numFmtId="0">
      <sharedItems/>
    </cacheField>
    <cacheField name="ESTADO" numFmtId="0">
      <sharedItems count="4">
        <s v="DAÑADO"/>
        <s v="PERDIDO"/>
        <s v="ROBADO"/>
        <s v="BAJAS"/>
      </sharedItems>
    </cacheField>
    <cacheField name="N° TELEFONO" numFmtId="0">
      <sharedItems containsMixedTypes="1" containsNumber="1" containsInteger="1" minValue="905433784" maxValue="960658466"/>
    </cacheField>
    <cacheField name="MARCA2" numFmtId="0">
      <sharedItems/>
    </cacheField>
    <cacheField name="MODELO" numFmtId="0">
      <sharedItems/>
    </cacheField>
    <cacheField name="IMEI" numFmtId="1">
      <sharedItems containsSemiMixedTypes="0" containsString="0" containsNumber="1" containsInteger="1" minValue="350640425775409" maxValue="869376056458825"/>
    </cacheField>
    <cacheField name="SN DEL CELULAR" numFmtId="0">
      <sharedItems/>
    </cacheField>
    <cacheField name="ALMACENAMIENTO" numFmtId="0">
      <sharedItems/>
    </cacheField>
    <cacheField name="FECHA DE COMPRA CEL" numFmtId="0">
      <sharedItems containsDate="1" containsMixedTypes="1" minDate="2023-03-30T00:00:00" maxDate="2025-12-05T00:00:00"/>
    </cacheField>
    <cacheField name="FECHA DE ASIGNACIÓN" numFmtId="0">
      <sharedItems containsDate="1" containsMixedTypes="1" minDate="2020-03-11T00:00:00" maxDate="2025-11-18T00:00:00"/>
    </cacheField>
    <cacheField name="TIEMPO DE USO" numFmtId="0">
      <sharedItems/>
    </cacheField>
    <cacheField name="OPERADOR" numFmtId="0">
      <sharedItems/>
    </cacheField>
    <cacheField name="PLAN TELEFÓNICO" numFmtId="0">
      <sharedItems/>
    </cacheField>
    <cacheField name="MDM" numFmtId="0">
      <sharedItems/>
    </cacheField>
    <cacheField name="ETRA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ella Vargas" refreshedDate="46127.42235173611" createdVersion="8" refreshedVersion="8" minRefreshableVersion="3" recordCount="38" xr:uid="{1646F3ED-3F61-4324-B267-6FEAB160CD81}">
  <cacheSource type="worksheet">
    <worksheetSource name="Tabla3717"/>
  </cacheSource>
  <cacheFields count="21">
    <cacheField name="N°" numFmtId="0">
      <sharedItems containsString="0" containsBlank="1" containsNumber="1" containsInteger="1" minValue="1" maxValue="34"/>
    </cacheField>
    <cacheField name="CÓDIGO ACTIVO" numFmtId="0">
      <sharedItems/>
    </cacheField>
    <cacheField name="USUARIO" numFmtId="0">
      <sharedItems/>
    </cacheField>
    <cacheField name="TIPO EQUIPO" numFmtId="0">
      <sharedItems/>
    </cacheField>
    <cacheField name="ESTADO" numFmtId="0">
      <sharedItems count="2">
        <s v="BAJA"/>
        <s v="ROBADO"/>
      </sharedItems>
    </cacheField>
    <cacheField name="ÁREA2" numFmtId="0">
      <sharedItems/>
    </cacheField>
    <cacheField name="HOSSTNAME" numFmtId="0">
      <sharedItems/>
    </cacheField>
    <cacheField name="MARCA" numFmtId="0">
      <sharedItems/>
    </cacheField>
    <cacheField name="MODELO" numFmtId="0">
      <sharedItems/>
    </cacheField>
    <cacheField name="SN" numFmtId="0">
      <sharedItems/>
    </cacheField>
    <cacheField name="PROCESADOR" numFmtId="0">
      <sharedItems/>
    </cacheField>
    <cacheField name="FEN PROCESADOR" numFmtId="0">
      <sharedItems containsMixedTypes="1" containsNumber="1" containsInteger="1" minValue="3330" maxValue="3770"/>
    </cacheField>
    <cacheField name="RAM" numFmtId="0">
      <sharedItems containsSemiMixedTypes="0" containsString="0" containsNumber="1" containsInteger="1" minValue="8" maxValue="32"/>
    </cacheField>
    <cacheField name="DISCO DURO" numFmtId="0">
      <sharedItems/>
    </cacheField>
    <cacheField name="PANTALLA" numFmtId="0">
      <sharedItems/>
    </cacheField>
    <cacheField name="SO" numFmtId="0">
      <sharedItems/>
    </cacheField>
    <cacheField name="OFFICE" numFmtId="0">
      <sharedItems containsBlank="1"/>
    </cacheField>
    <cacheField name="MODELO CARGAADOR" numFmtId="0">
      <sharedItems containsBlank="1"/>
    </cacheField>
    <cacheField name="SN-CT CARGADOR" numFmtId="0">
      <sharedItems containsBlank="1"/>
    </cacheField>
    <cacheField name="FECHA DE COMPRA" numFmtId="14">
      <sharedItems containsDate="1" containsMixedTypes="1" minDate="2017-02-11T00:00:00" maxDate="2021-08-04T00:00:00"/>
    </cacheField>
    <cacheField name="TIEMPO DE U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0.441622222221" createdVersion="8" refreshedVersion="8" minRefreshableVersion="3" recordCount="84" xr:uid="{17928A69-EC66-41B8-BB3B-53DF99C7770D}">
  <cacheSource type="worksheet">
    <worksheetSource name="Tabla12"/>
  </cacheSource>
  <cacheFields count="5">
    <cacheField name="NÚMERO DE SERIE" numFmtId="1">
      <sharedItems containsMixedTypes="1" containsNumber="1" containsInteger="1" minValue="24164525101640" maxValue="24312525100784"/>
    </cacheField>
    <cacheField name="MODELO" numFmtId="0">
      <sharedItems count="3">
        <s v="MC32"/>
        <s v="MC33"/>
        <s v="MC34"/>
      </sharedItems>
    </cacheField>
    <cacheField name="ESTADO" numFmtId="0">
      <sharedItems count="3">
        <s v="OK"/>
        <s v="BAJA"/>
        <s v="DEPRECIADO"/>
      </sharedItems>
    </cacheField>
    <cacheField name="AÑO" numFmtId="0">
      <sharedItems containsMixedTypes="1" containsNumber="1" containsInteger="1" minValue="2022" maxValue="2022"/>
    </cacheField>
    <cacheField name="FECHA" numFmtId="0">
      <sharedItems containsDate="1" containsMixedTypes="1" minDate="2025-03-31T00:00:00" maxDate="2025-04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0.441622222221" createdVersion="8" refreshedVersion="8" minRefreshableVersion="3" recordCount="20" xr:uid="{C573A8C4-DC5B-4E0E-8928-E73FD8542321}">
  <cacheSource type="worksheet">
    <worksheetSource name="Tabla11"/>
  </cacheSource>
  <cacheFields count="13">
    <cacheField name="N°" numFmtId="0">
      <sharedItems containsSemiMixedTypes="0" containsString="0" containsNumber="1" containsInteger="1" minValue="1" maxValue="20"/>
    </cacheField>
    <cacheField name="USUARIO" numFmtId="0">
      <sharedItems/>
    </cacheField>
    <cacheField name="TIPO EQUIPO" numFmtId="0">
      <sharedItems count="2">
        <s v="MODEM"/>
        <s v="ROUTER"/>
      </sharedItems>
    </cacheField>
    <cacheField name="ÁREA" numFmtId="0">
      <sharedItems count="2">
        <s v="B2B"/>
        <s v="COMERCIAL"/>
      </sharedItems>
    </cacheField>
    <cacheField name="NÚMERO ASIGNADO" numFmtId="0">
      <sharedItems containsMixedTypes="1" containsNumber="1" containsInteger="1" minValue="871204300" maxValue="981176846"/>
    </cacheField>
    <cacheField name="DATOS" numFmtId="0">
      <sharedItems/>
    </cacheField>
    <cacheField name="MARCA" numFmtId="0">
      <sharedItems/>
    </cacheField>
    <cacheField name="MODELO" numFmtId="0">
      <sharedItems/>
    </cacheField>
    <cacheField name="IMEI" numFmtId="1">
      <sharedItems containsSemiMixedTypes="0" containsString="0" containsNumber="1" containsInteger="1" minValue="358890860076803" maxValue="863026070982252"/>
    </cacheField>
    <cacheField name="SN" numFmtId="1">
      <sharedItems containsMixedTypes="1" containsNumber="1" containsInteger="1" minValue="320135149827" maxValue="324451910453"/>
    </cacheField>
    <cacheField name="FECHA DE COMPRA DEL EQUIPO" numFmtId="14">
      <sharedItems containsSemiMixedTypes="0" containsNonDate="0" containsDate="1" containsString="0" minDate="2020-07-31T00:00:00" maxDate="2026-08-02T00:00:00"/>
    </cacheField>
    <cacheField name="OPERADOR" numFmtId="0">
      <sharedItems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0.441622222221" createdVersion="8" refreshedVersion="8" minRefreshableVersion="3" recordCount="31" xr:uid="{8C8D581A-D3F6-4BC4-89D7-DE91D17A3FDF}">
  <cacheSource type="worksheet">
    <worksheetSource name="Tabla9"/>
  </cacheSource>
  <cacheFields count="8">
    <cacheField name="N°" numFmtId="0">
      <sharedItems containsSemiMixedTypes="0" containsString="0" containsNumber="1" containsInteger="1" minValue="1" maxValue="32"/>
    </cacheField>
    <cacheField name="CÓDIGO ACTIVO" numFmtId="0">
      <sharedItems/>
    </cacheField>
    <cacheField name="USUARIO ASIGNADO" numFmtId="0">
      <sharedItems/>
    </cacheField>
    <cacheField name="TIPO EQUIPO" numFmtId="0">
      <sharedItems count="1">
        <s v="MONITOR"/>
      </sharedItems>
    </cacheField>
    <cacheField name="ÁREA" numFmtId="0">
      <sharedItems count="15">
        <s v="CALL CENTER"/>
        <s v="COMERCIAL"/>
        <s v="GAF"/>
        <s v="PRODUCTOS"/>
        <s v="TI"/>
        <s v="BI"/>
        <s v="COMEX"/>
        <s v="GG"/>
        <s v="TESORERÍA"/>
        <s v="GVDN"/>
        <s v="CONTABILIDAD"/>
        <s v="COBRANZAS"/>
        <s v="COMPRAS"/>
        <s v="GC"/>
        <s v="CENTRO DE DISTRIBUCIÓN"/>
      </sharedItems>
    </cacheField>
    <cacheField name="MARCA" numFmtId="0">
      <sharedItems/>
    </cacheField>
    <cacheField name="MODELO" numFmtId="0">
      <sharedItems/>
    </cacheField>
    <cacheField name="S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0.441622222221" createdVersion="8" refreshedVersion="8" minRefreshableVersion="3" recordCount="26" xr:uid="{416C722D-FE19-47FB-8C43-025817465872}">
  <cacheSource type="worksheet">
    <worksheetSource name="Tabla8"/>
  </cacheSource>
  <cacheFields count="8">
    <cacheField name="TIPO EQUIPO" numFmtId="0">
      <sharedItems count="2">
        <s v="IMPRESORA"/>
        <s v="ESTABILIZADOR"/>
      </sharedItems>
    </cacheField>
    <cacheField name="MARCA" numFmtId="0">
      <sharedItems count="5">
        <s v="HP"/>
        <s v="EPSON"/>
        <s v="RICOH"/>
        <s v="ZEBRA"/>
        <s v="DP"/>
      </sharedItems>
    </cacheField>
    <cacheField name="MODELO" numFmtId="0">
      <sharedItems/>
    </cacheField>
    <cacheField name="SN" numFmtId="0">
      <sharedItems/>
    </cacheField>
    <cacheField name="USUARIO" numFmtId="0">
      <sharedItems/>
    </cacheField>
    <cacheField name="IP" numFmtId="0">
      <sharedItems/>
    </cacheField>
    <cacheField name="SEDE" numFmtId="0">
      <sharedItems count="4">
        <s v="SAN ISIDRO"/>
        <s v="SAN ISIDRO (A LADO DE PILAR ROMERO)"/>
        <s v="SAN ISIDRO (A LADO DE DENNIZ GONIA)"/>
        <s v="CENTRO DE DISTRIBUCIÓN"/>
      </sharedItems>
    </cacheField>
    <cacheField name="IMPRESORA EN U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0.441622337959" createdVersion="8" refreshedVersion="8" minRefreshableVersion="3" recordCount="173" xr:uid="{3896AECB-1FA5-4016-8762-F5A6D145C95C}">
  <cacheSource type="worksheet">
    <worksheetSource name="Tabla2"/>
  </cacheSource>
  <cacheFields count="23">
    <cacheField name="N°" numFmtId="0">
      <sharedItems containsSemiMixedTypes="0" containsString="0" containsNumber="1" containsInteger="1" minValue="1" maxValue="172"/>
    </cacheField>
    <cacheField name="CÓDIGO DE ACTIVO" numFmtId="0">
      <sharedItems/>
    </cacheField>
    <cacheField name="USUARIO ASIGNADO" numFmtId="0">
      <sharedItems count="139">
        <s v="ALEJANDRA QUEZADA"/>
        <s v="ALEXIS CHALLCO"/>
        <s v="ALICIA LLUEN"/>
        <s v="ALISSA CUBAS"/>
        <s v="ANA MALCA"/>
        <s v="ANAÍS ALBURQUEQUE"/>
        <s v="ANDREA RUIZ (AUDITOR DE PROCESOS)"/>
        <s v="ANDREA YATACO"/>
        <s v="ANDRES ARISPE"/>
        <s v="ANGELA SOTERO"/>
        <s v="ANSELMO SORIA"/>
        <s v="ANTHONY ACEVEDO"/>
        <s v="ANTONELLA VARGAS"/>
        <s v="B2B"/>
        <s v="BODEGA BSF"/>
        <s v="CARLOS AGUIRRE"/>
        <s v="CARLOS BARRANTES"/>
        <s v="CARLOS SANDOVAL"/>
        <s v="CAROLINA PHILIPPS"/>
        <s v="CHRISTIAN RAMIREZ"/>
        <s v="CLAUDIA ABREGU"/>
        <s v="CLAUDIA CARRASCO"/>
        <s v="CRISTHIAN AREVALO"/>
        <s v="CRISTIAN RUIZ"/>
        <s v="CRISTINA DIAZ"/>
        <s v="DANIEL ROJAS"/>
        <s v="DANNEL SERQUEN"/>
        <s v="DENNIS BERRU (SISTEMA DE PICKING)"/>
        <s v="DENNIZ GONIA"/>
        <s v="DIANA BROGGI"/>
        <s v="DIANA HERNANDEZ"/>
        <s v="DIEGO ALCA"/>
        <s v="DIONISIA PARDO"/>
        <s v="EDGAR ALBARRAN"/>
        <s v="EDWIN ACHATA"/>
        <s v="ELIANA MARTINEZ"/>
        <s v="EMILIA TIZA"/>
        <s v="EMILY APAZA"/>
        <s v="ENRIQUE HIDALGO"/>
        <s v="FABIANA APARICIO"/>
        <s v="FABIOLA LAURENTE"/>
        <s v="FELIX YACTAYO"/>
        <s v="FRANCISCO OTERO"/>
        <s v="GERMAN AÑAZCO"/>
        <s v="GERSON APOLINARIO"/>
        <s v="GIANELLA SOLLER"/>
        <s v="GUILLERMO MALCA"/>
        <s v="GUINA BUSTOS"/>
        <s v="GUSTAVO NAVA"/>
        <s v="HECTOR JUAREZ"/>
        <s v="HUGO JUAREZ"/>
        <s v="HUGO VILLAFUERTE"/>
        <s v="IVAN GUTIERREZ"/>
        <s v="JAVIER MOGOLLON"/>
        <s v="JAVIER SUEMATZU"/>
        <s v="JAVIER ZEGARRA"/>
        <s v="JAZMIN MOSQUERA"/>
        <s v="JEAN VILLAGARAY"/>
        <s v="JEIMY URIARTE"/>
        <s v="JIM HURTADO"/>
        <s v="JIMMY FLORES"/>
        <s v="JOEL GUTIERREZ"/>
        <s v="JOEL HERMOZA"/>
        <s v="JONATHAN ATOCHE"/>
        <s v="JONATHAN VACCARO"/>
        <s v="JORGE CARRERA"/>
        <s v="JORGE MINAYA"/>
        <s v="JORGE TENORIO"/>
        <s v="JORGE VILA"/>
        <s v="JOSE CASTILLO"/>
        <s v="JOSE CUEVA"/>
        <s v="JOSE FERNANDEZ"/>
        <s v="JOSE PEREZ"/>
        <s v="JOSEPH RUIZ"/>
        <s v="JUAN BOTTON"/>
        <s v="JUAN CAVERO"/>
        <s v="JUAN NAKAZAKI"/>
        <s v="JULIO ULLOA"/>
        <s v="KARLA CHAYGUAQUE"/>
        <s v="KATHERIN ROJAS"/>
        <s v="KATHERINNE PEREZ"/>
        <s v="KATIA REYNA"/>
        <s v="KIMBERLY DEL BUENO"/>
        <s v="LOURDES SAER"/>
        <s v="LUIS ESTRELLA"/>
        <s v="LUIS NEYRA"/>
        <s v="MANUEL ZAVALETA"/>
        <s v="MARCO CHAVEZ"/>
        <s v="MARIA ROMERO"/>
        <s v="MARICARMEN PLASENCIA"/>
        <s v="MARIO VILLEGAS"/>
        <s v="MAYERLIN BARRERA"/>
        <s v="MAYRA MALPARTIDA"/>
        <s v="MAYRA SANTOS"/>
        <s v="MILAGROS APAZA"/>
        <s v="MILAGROS VALLE"/>
        <s v="MILNIE GUTIERREZ"/>
        <s v="MIRIAM PINEDA"/>
        <s v="MOISES DIAZ"/>
        <s v="NICANOR PRADO"/>
        <s v="OSMAR MONGE"/>
        <s v="OSWALDO CARDENAS"/>
        <s v="OSWALDO DIAZ"/>
        <s v="PALMIRA GARCIA"/>
        <s v="PAMELA SAAVEDRA"/>
        <s v="PAOLA PAYVA"/>
        <s v="PAUL BRAVO"/>
        <s v="RAUL ANYOSA"/>
        <s v="REBECA CACERES"/>
        <s v="RENZO HUAMAN"/>
        <s v="RENZO NUREÑA"/>
        <s v="RICARDO INFANTES"/>
        <s v="RICHARD SALAZAR"/>
        <s v="ROGER CHUMBES"/>
        <s v="ROGER RUIZ"/>
        <s v="ROSARIO CARBAJAL"/>
        <s v="ROSSMARY PILLACA"/>
        <s v="SAMUEL SOTO"/>
        <s v="SAYURI JOAQUIN"/>
        <s v="SEGURIDAD BSF"/>
        <s v="SHEYLA CHOQUE"/>
        <s v="SISSY REVOLLEDO"/>
        <s v="SUSSAN HUAPAYA"/>
        <s v="SUSSAN OBREGON"/>
        <s v="TI"/>
        <s v="URSULA LECCA"/>
        <s v="VANESA BECERRA"/>
        <s v="VERONICA RUELAS"/>
        <s v="VICTOR TORRES"/>
        <s v="VIVIANA PINEDO"/>
        <s v="WALTER RUIZ"/>
        <s v="WILLIAM MARTINEZ"/>
        <s v="WILLIAM VASQUEZ"/>
        <s v="YENNY MARIN"/>
        <s v="YESSICA DELGADO"/>
        <s v="SIN USUARIO"/>
        <s v="ANAIS ALBURQUEQUE" u="1"/>
        <s v="GHEREL TOCAS" u="1"/>
        <s v="MARIA MORI" u="1"/>
      </sharedItems>
    </cacheField>
    <cacheField name="USUARIO ANTERIOR PERTENECIENTE" numFmtId="0">
      <sharedItems/>
    </cacheField>
    <cacheField name="TIPO DE EQUIPO" numFmtId="0">
      <sharedItems count="2">
        <s v="LAPTOP"/>
        <s v="DESKTOP"/>
      </sharedItems>
    </cacheField>
    <cacheField name="ÁREA" numFmtId="0">
      <sharedItems count="19">
        <s v="CALL CENTER"/>
        <s v="CENTRO DE DISTRIBUCIÓN"/>
        <s v="CONTABILIDAD"/>
        <s v="COMERCIAL"/>
        <s v="PRICING"/>
        <s v="COBRANZAS"/>
        <s v="GAF"/>
        <s v="RRHH"/>
        <s v="PRODUCTOS"/>
        <s v="TI"/>
        <s v="B2B"/>
        <s v="BI"/>
        <s v="MARKETING"/>
        <s v="COMEX"/>
        <s v="GG"/>
        <s v="TESORERIA"/>
        <s v="ADMINISTRATIVO"/>
        <s v="PM"/>
        <s v="GC"/>
      </sharedItems>
    </cacheField>
    <cacheField name="HOSTNAME" numFmtId="0">
      <sharedItems/>
    </cacheField>
    <cacheField name="MARCA" numFmtId="0">
      <sharedItems/>
    </cacheField>
    <cacheField name="MODELO" numFmtId="0">
      <sharedItems/>
    </cacheField>
    <cacheField name="SN" numFmtId="0">
      <sharedItems/>
    </cacheField>
    <cacheField name="PROCESADOR" numFmtId="0">
      <sharedItems/>
    </cacheField>
    <cacheField name="GEN PROCESADOR" numFmtId="0">
      <sharedItems containsMixedTypes="1" containsNumber="1" containsInteger="1" minValue="6500" maxValue="12500"/>
    </cacheField>
    <cacheField name="GHZ" numFmtId="0">
      <sharedItems containsBlank="1"/>
    </cacheField>
    <cacheField name="RAM" numFmtId="0">
      <sharedItems containsSemiMixedTypes="0" containsString="0" containsNumber="1" containsInteger="1" minValue="8" maxValue="128"/>
    </cacheField>
    <cacheField name="DISCO DURO" numFmtId="0">
      <sharedItems/>
    </cacheField>
    <cacheField name="PANTALLA" numFmtId="0">
      <sharedItems/>
    </cacheField>
    <cacheField name="SO" numFmtId="0">
      <sharedItems/>
    </cacheField>
    <cacheField name="OFFICE" numFmtId="0">
      <sharedItems/>
    </cacheField>
    <cacheField name="MODELO CARGADOR" numFmtId="0">
      <sharedItems containsBlank="1"/>
    </cacheField>
    <cacheField name="SN - CT CARGADOR" numFmtId="0">
      <sharedItems containsBlank="1"/>
    </cacheField>
    <cacheField name="FECHA DE COMPRA" numFmtId="14">
      <sharedItems containsDate="1" containsMixedTypes="1" minDate="2017-04-27T00:00:00" maxDate="2026-02-03T00:00:00"/>
    </cacheField>
    <cacheField name="FECHA DE ASIGNACIÓN" numFmtId="0">
      <sharedItems containsDate="1" containsBlank="1" containsMixedTypes="1" minDate="2020-09-09T00:00:00" maxDate="2026-04-10T00:00:00"/>
    </cacheField>
    <cacheField name="TIEMPO DE USO" numFmtId="0">
      <sharedItems count="66">
        <s v="6 años y 11 meses"/>
        <s v="-"/>
        <s v="4 años y 9 meses"/>
        <s v="4 años y 3 meses"/>
        <s v="3 años y 6 meses"/>
        <s v="1 año y 6 meses"/>
        <s v="6 años y 9 meses"/>
        <s v="1 año y 1 mes"/>
        <s v="1 año y 11 meses"/>
        <s v="3 años y 11 meses"/>
        <s v="4 años y 4 meses"/>
        <s v="1 año y 4 meses"/>
        <s v="5 años y 9 meses"/>
        <s v="8 años y 9 meses"/>
        <s v="2 años y 5 meses"/>
        <s v="4 años y 10 meses"/>
        <s v="2 años y 10 meses"/>
        <s v="3 años y 0 meses"/>
        <s v="2 años y 4 meses"/>
        <s v="3 años y 3 meses"/>
        <s v="4 años y 6 meses"/>
        <s v="0 años y 7 meses"/>
        <s v="0 años y 10 meses"/>
        <s v="1 año y 9 meses"/>
        <s v="6 años y 10 meses"/>
        <s v="0 años y 11 meses"/>
        <s v="1 año y 7 meses"/>
        <s v="5 años y 8 meses"/>
        <s v="0 años y 3 meses"/>
        <s v="3 años y 4 meses"/>
        <s v="8 años y 2 meses"/>
        <s v="3 años y 1 mes"/>
        <s v="0 años y 8 meses"/>
        <s v="4 años y 0 meses"/>
        <s v="1 año y 10 meses"/>
        <s v="5 años y 2 meses"/>
        <s v="4 años y 2 meses"/>
        <s v="2 años y 11 meses"/>
        <s v="1 año y 8 meses"/>
        <s v="1 año y 0 meses"/>
        <s v="4 años y 11 meses"/>
        <s v="4 años y 1 mes"/>
        <s v="7 años y 0 meses"/>
        <s v="4 años y 8 meses"/>
        <s v="9 años y 0 meses"/>
        <s v="2 años y 1 mes"/>
        <s v="7 años y 2 meses"/>
        <s v="3 años y 5 meses"/>
        <s v="3 años y 7 meses"/>
        <s v="5 años y 0 meses"/>
        <s v="7 años y 8 meses"/>
        <s v="6 años y 8 meses" u="1"/>
        <s v="3 años y 10 meses" u="1"/>
        <s v="1 año y 3 meses" u="1"/>
        <s v="2 años y 9 meses" u="1"/>
        <s v="1 año y 5 meses" u="1"/>
        <s v="2 años y 3 meses" u="1"/>
        <s v="3 años y 2 meses" u="1"/>
        <s v="8 años y 11 meses" u="1"/>
        <s v="5 años y 7 meses" u="1"/>
        <s v="0 años y 2 meses" u="1"/>
        <s v="8 años y 1 mes" u="1"/>
        <s v="5 años y 1 mes" u="1"/>
        <s v="4 años y 5 meses" u="1"/>
        <s v="7 años y 1 mes" u="1"/>
        <s v="7 años y 7 meses" u="1"/>
      </sharedItems>
    </cacheField>
  </cacheFields>
  <extLst>
    <ext xmlns:x14="http://schemas.microsoft.com/office/spreadsheetml/2009/9/main" uri="{725AE2AE-9491-48be-B2B4-4EB974FC3084}">
      <x14:pivotCacheDefinition pivotCacheId="144442436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0.441622337959" createdVersion="8" refreshedVersion="8" minRefreshableVersion="3" recordCount="147" xr:uid="{C81A3022-2BD4-45D9-A14A-DFC69AB8762C}">
  <cacheSource type="worksheet">
    <worksheetSource name="Tabla1"/>
  </cacheSource>
  <cacheFields count="21">
    <cacheField name="N°" numFmtId="0">
      <sharedItems containsSemiMixedTypes="0" containsString="0" containsNumber="1" containsInteger="1" minValue="1" maxValue="150"/>
    </cacheField>
    <cacheField name="USUARIO" numFmtId="0">
      <sharedItems count="149">
        <s v="ALEJANDRA QUEZADA"/>
        <s v="ALEXIS CHALLCO"/>
        <s v="ALICIA LLUEN"/>
        <s v="ALISSA CUBAS"/>
        <s v="ANA MALCA"/>
        <s v="ANAIS ALBURQUEQUE"/>
        <s v="ANDREA YATACO"/>
        <s v="ANDRES ARISPE"/>
        <s v="ANGELA SOTERO"/>
        <s v="ANSELMO SORIA"/>
        <s v="ANTONELLA VARGAS"/>
        <s v="CARLOS AGUIRRE"/>
        <s v="CARLOS BARRANTES"/>
        <s v="CARLOS SANDOVAL"/>
        <s v="CAROLINA PHILIPPS"/>
        <s v="CHRISTIAN BARDALES"/>
        <s v="CHRISTIAN RAMIREZ"/>
        <s v="CLAUDIA ABREGU"/>
        <s v="CLAUDIA CARRASCO"/>
        <s v="CRISTHIAN AREVALO"/>
        <s v="CRISTIAN RUIZ"/>
        <s v="CRISTINA DIAZ"/>
        <s v="DANIEL ROJAS"/>
        <s v="DANNEL SERQUEN"/>
        <s v="DENNIZ GONIA"/>
        <s v="DIANA BROGGI"/>
        <s v="DIANA HERNANDEZ"/>
        <s v="DIEGO ALCA"/>
        <s v="DIONISIA PARDO"/>
        <s v="EDGAR ALBARRAN"/>
        <s v="EDWIN ACHATA"/>
        <s v="ELIANA MARTINEZ"/>
        <s v="EMILIA TIZA"/>
        <s v="EMILY APAZA"/>
        <s v="ENRIQUE HIDALGO"/>
        <s v="FABIOLA LAURENTE"/>
        <s v="FACTURACIÓN CD (ANTHONY ACEVEDO)"/>
        <s v="FELIX YACTAYO"/>
        <s v="FRANCISCO OTERO"/>
        <s v="GERMAN AÑAZCO"/>
        <s v="GIANELLA SOLLER"/>
        <s v="GUILLERMO MALCA"/>
        <s v="GUINA BUSTOS"/>
        <s v="GUSTAVO NAVA"/>
        <s v="HECTOR DEL CASTILLO"/>
        <s v="HECTOR JUAREZ"/>
        <s v="HUGO JUAREZ"/>
        <s v="HUGO VILLAFUERTE"/>
        <s v="IVAN GUTIERREZ"/>
        <s v="IVAN GUTIERREZ (IJ)"/>
        <s v="JAVIER MOGOLLON"/>
        <s v="JAVIER SUEMATZU"/>
        <s v="JAVIER ZEGARRA"/>
        <s v="JAZMIN MOSQUERA"/>
        <s v="JEAN VILLAGARAY"/>
        <s v="JEIMY URIARTE"/>
        <s v="JIM HURTADO"/>
        <s v="JIMMY FLORES"/>
        <s v="JOEL GUTIERREZ"/>
        <s v="JOEL HERMOZA"/>
        <s v="JONATHAN ATOCHE"/>
        <s v="JONATHAN VACCARO"/>
        <s v="JORGE CARRERA"/>
        <s v="JORGE MINAYA"/>
        <s v="JORGE TENORIO"/>
        <s v="JORGE VILA"/>
        <s v="JOSE CASTILLO"/>
        <s v="JOSE CUEVA"/>
        <s v="JOSE PEREZ"/>
        <s v="JOSEPH RUIZ"/>
        <s v="JUAN BOTTON"/>
        <s v="JUAN CAVERO"/>
        <s v="JUAN NAKAZAKI"/>
        <s v="JULIO ULLOA"/>
        <s v="KARLA CHAYGUAQUE"/>
        <s v="KATHERIN ROJAS"/>
        <s v="KATHERINNE PEREZ"/>
        <s v="KATIA REYNA"/>
        <s v="KIMBERLY DEL BUENO"/>
        <s v="LOURDES SAER"/>
        <s v="LUIS ESTRELLA"/>
        <s v="LUIS NEYRA"/>
        <s v="MANUEL FLORES"/>
        <s v="MANUEL ZAVALETA"/>
        <s v="MARCOS CHAVEZ"/>
        <s v="MARIA ROMERO"/>
        <s v="MARICARMEN PLASENCIA"/>
        <s v="MARIO VILLEGAS"/>
        <s v="MAYERLIN BARRERA"/>
        <s v="MAYRA MALPARTIDA"/>
        <s v="MAYRA SANTOS"/>
        <s v="MILAGROS APAZA"/>
        <s v="MILAGROS VALLE"/>
        <s v="MILNIE GUTIERREZ"/>
        <s v="MIRIAM PINEDA"/>
        <s v="MOISES DIAZ"/>
        <s v="NICANOR PRADO"/>
        <s v="OSMAR MONGE"/>
        <s v="OSWALDO CARDENAS"/>
        <s v="OSWALDO DIAZ"/>
        <s v="PALMIRA GARCIA"/>
        <s v="PAMELA SAAVEDRA"/>
        <s v="PAOLA PAYVA"/>
        <s v="PAUL BRAVO"/>
        <s v="RAUL ANYOSA"/>
        <s v="REBECA CACERES"/>
        <s v="RENZO HUAMAN"/>
        <s v="RENZO NUREÑA"/>
        <s v="RICARDO INFANTES"/>
        <s v="RICHARD SALAZAR"/>
        <s v="ROGER CHUMBES"/>
        <s v="ROGER RUIZ"/>
        <s v="ROSARIO CARBAJAL"/>
        <s v="ROSSMARY PILLACA"/>
        <s v="SAMUEL SOTO"/>
        <s v="SHEYLA CHOQUE"/>
        <s v="SISSY REVOLLEDO"/>
        <s v="SUSSAN HUAPAYA"/>
        <s v="SUSSAN OBREGON"/>
        <s v="URSULA LECCA"/>
        <s v="VANESA BECERRA"/>
        <s v="VERONICA RUELAS"/>
        <s v="VICTOR TORRES"/>
        <s v="VIVIANA PINEDO"/>
        <s v="WALTER RUIZ"/>
        <s v="WILLIAM MARTINEZ"/>
        <s v="WILLIAM VASQUEZ"/>
        <s v="YENNY MARIN"/>
        <s v="YESSICA DELGADO"/>
        <s v="SAYURI JOAQUIN"/>
        <s v="JOSE FERNANDEZ"/>
        <s v="SIN USUARIO"/>
        <s v="GHEREL TOCAS" u="1"/>
        <s v="MARIA MORI" u="1"/>
        <s v="JACQUELYN ESTRADA" u="1"/>
        <s v="SIN USUARIO (ANDRES CACHIMA)" u="1"/>
        <s v="SIN USUARIO (CELULAR NUEVO)" u="1"/>
        <s v="SIN USUARIO (DANARI DE LA PUENTE)" u="1"/>
        <s v="SIN USUARIO (FRANCISCO OTERO)" u="1"/>
        <s v="SIN USUARIO (INGRID HERRERA)" u="1"/>
        <s v="SIN USUARIO (JERRY SATALAYA)" u="1"/>
        <s v="SIN USUARIO (JUAN MALLQUI)" u="1"/>
        <s v="SIN USUARIO (JUNIOR VALENCIA)" u="1"/>
        <s v="SIN USUARIO (MARIO VILLEGAS)" u="1"/>
        <s v="SIN USUARIO (MARYSABEL BORDA)" u="1"/>
        <s v="SIN USUARIO (SANDRA JUAREZ)" u="1"/>
        <s v="SIN USUARIO (SUSANA BENITES)" u="1"/>
        <s v="SIN USUARIO (WALTER RUIZ)" u="1"/>
        <s v="SIN USUARIO (XIOMARA MIO)" u="1"/>
      </sharedItems>
    </cacheField>
    <cacheField name="USUARIO ANTERIOR PERTENECIENTE" numFmtId="0">
      <sharedItems/>
    </cacheField>
    <cacheField name="TIPO EQUIPO" numFmtId="0">
      <sharedItems count="2">
        <s v="CELULAR"/>
        <s v="LINEA"/>
      </sharedItems>
    </cacheField>
    <cacheField name="ÁREA" numFmtId="0">
      <sharedItems containsBlank="1" count="23">
        <s v="CALL CENTER"/>
        <s v="CENTRO DE DISTRIBUCIÓN"/>
        <s v="CONTABILIDAD"/>
        <s v="COMERCIAL"/>
        <s v="PRICING"/>
        <s v="COBRANZAS"/>
        <s v="ADMINISTRATIVO"/>
        <s v="RRHH"/>
        <s v="CATALOGO MANAGER"/>
        <s v="TI"/>
        <s v="B2B"/>
        <s v="BI"/>
        <s v="PRODUCTOS"/>
        <s v="MARKETING"/>
        <s v="COMPRAS"/>
        <s v="PM"/>
        <s v="GG"/>
        <s v="TESORERIA"/>
        <s v="COMEX"/>
        <s v="GVDN"/>
        <s v="GC"/>
        <s v="-" u="1"/>
        <m u="1"/>
      </sharedItems>
    </cacheField>
    <cacheField name="NÚM ASIGNADO" numFmtId="0">
      <sharedItems containsBlank="1" containsMixedTypes="1" containsNumber="1" containsInteger="1" minValue="905433778" maxValue="999527342"/>
    </cacheField>
    <cacheField name="MARCA" numFmtId="0">
      <sharedItems/>
    </cacheField>
    <cacheField name="MODELO" numFmtId="0">
      <sharedItems/>
    </cacheField>
    <cacheField name="IMEI" numFmtId="1">
      <sharedItems containsMixedTypes="1" containsNumber="1" containsInteger="1" minValue="350182153316478" maxValue="869426042758463"/>
    </cacheField>
    <cacheField name="SN DEL CELULAR" numFmtId="0">
      <sharedItems/>
    </cacheField>
    <cacheField name="ALMACENAMIENTO" numFmtId="0">
      <sharedItems containsBlank="1"/>
    </cacheField>
    <cacheField name="MARCA CARGADOR" numFmtId="0">
      <sharedItems containsBlank="1"/>
    </cacheField>
    <cacheField name="MODELO CARGADOR" numFmtId="0">
      <sharedItems containsBlank="1"/>
    </cacheField>
    <cacheField name="SN CARGADOR" numFmtId="0">
      <sharedItems containsBlank="1"/>
    </cacheField>
    <cacheField name="FECHA DE COMPRA CEL" numFmtId="0">
      <sharedItems containsDate="1" containsMixedTypes="1" minDate="2023-01-20T00:00:00" maxDate="2026-04-09T00:00:00"/>
    </cacheField>
    <cacheField name="FECHA DE ASIGNACIÓN" numFmtId="0">
      <sharedItems containsDate="1" containsBlank="1" containsMixedTypes="1" minDate="2021-04-16T00:00:00" maxDate="2026-04-02T00:00:00"/>
    </cacheField>
    <cacheField name="TIEMPO DE USO" numFmtId="0">
      <sharedItems count="30">
        <s v="3 años y 3 meses"/>
        <s v="1 año y 3 meses"/>
        <s v="2 años y 9 meses"/>
        <s v="2 años y 3 meses"/>
        <s v="-"/>
        <s v="2 años y 4 meses"/>
        <s v="0 años y 6 meses"/>
        <s v="2 años y 5 meses"/>
        <s v="2 años y 2 meses"/>
        <s v="1 año y 6 meses"/>
        <s v="1 año y 11 meses"/>
        <s v="0 años y 2 meses"/>
        <s v="3 años y 1 mes"/>
        <s v="1 año y 1 mes"/>
        <s v="0 años y 9 meses"/>
        <s v="3 años y 0 meses"/>
        <s v="0 años y 7 meses"/>
        <s v="1 año y 5 meses"/>
        <s v="1 año y 7 meses"/>
        <s v="0 años y 1 mes"/>
        <s v="1 año y 0 meses"/>
        <s v="3 años y 2 meses" u="1"/>
        <s v="1 año y 2 meses" u="1"/>
        <s v="0 años y 5 meses" u="1"/>
        <s v="2 años y 1 mes" u="1"/>
        <s v="1 año y 10 meses" u="1"/>
        <s v="2 años y 11 meses" u="1"/>
        <s v="1 año y 4 meses" u="1"/>
        <s v="0 años y 0 meses" u="1"/>
        <s v="0 años y 8 meses" u="1"/>
      </sharedItems>
    </cacheField>
    <cacheField name="OPERADOR" numFmtId="0">
      <sharedItems/>
    </cacheField>
    <cacheField name="PLAN TELEFÓNICO" numFmtId="0">
      <sharedItems/>
    </cacheField>
    <cacheField name="MDM" numFmtId="0">
      <sharedItems/>
    </cacheField>
    <cacheField name="ETRACK" numFmtId="0">
      <sharedItems/>
    </cacheField>
  </cacheFields>
  <extLst>
    <ext xmlns:x14="http://schemas.microsoft.com/office/spreadsheetml/2009/9/main" uri="{725AE2AE-9491-48be-B2B4-4EB974FC3084}">
      <x14:pivotCacheDefinition pivotCacheId="19663405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1"/>
    <s v="ANGELA SOTERO"/>
    <s v="CELULAR"/>
    <s v="RRHH"/>
    <x v="0"/>
    <s v="-"/>
    <s v="SAMSUNG"/>
    <s v="GALAXY S20 FE"/>
    <n v="355468801544842"/>
    <s v="-"/>
    <s v="-"/>
    <s v="-"/>
    <s v="-"/>
    <s v="-"/>
    <s v="ENTEL"/>
    <s v="-"/>
    <s v="-"/>
    <s v="-"/>
  </r>
  <r>
    <n v="2"/>
    <s v="LUIS ESTRELLA"/>
    <s v="CELULAR"/>
    <s v="PM"/>
    <x v="1"/>
    <s v="-"/>
    <s v="SAMSUNG"/>
    <s v="GALAXY A13"/>
    <n v="351066360450122"/>
    <s v="-"/>
    <s v="-"/>
    <s v="-"/>
    <s v="-"/>
    <s v="-"/>
    <s v="CLARO"/>
    <s v="-"/>
    <s v="-"/>
    <s v="-"/>
  </r>
  <r>
    <n v="3"/>
    <s v="GHEREL TOCAS"/>
    <s v="CELULAR"/>
    <s v="TI"/>
    <x v="2"/>
    <s v="-"/>
    <s v="SAMSUNG"/>
    <s v="GALAXY A24"/>
    <n v="356241324870534"/>
    <s v="-"/>
    <s v="-"/>
    <d v="2023-11-13T00:00:00"/>
    <s v="-"/>
    <s v="-"/>
    <s v="CLARO"/>
    <s v="-"/>
    <s v="-"/>
    <s v="-"/>
  </r>
  <r>
    <n v="4"/>
    <s v="CARLOS AGUIRRE"/>
    <s v="CELULAR"/>
    <s v="COMERCIAL"/>
    <x v="2"/>
    <s v="-"/>
    <s v="SAMSUNG"/>
    <s v="GALAXY A13"/>
    <n v="352971680537418"/>
    <s v="-"/>
    <s v="-"/>
    <s v="-"/>
    <s v="-"/>
    <s v="-"/>
    <s v="CLARO"/>
    <s v="-"/>
    <s v="-"/>
    <s v="-"/>
  </r>
  <r>
    <n v="5"/>
    <s v="KENNETH QUINTANA"/>
    <s v="CELULAR"/>
    <s v="COMERCIAL"/>
    <x v="2"/>
    <s v="-"/>
    <s v="XIAOMI"/>
    <s v="REDMI NOTE 11T"/>
    <n v="869376056458825"/>
    <s v="-"/>
    <s v="-"/>
    <s v="-"/>
    <s v="-"/>
    <s v="-"/>
    <s v="CLARO"/>
    <s v="-"/>
    <s v="-"/>
    <s v="-"/>
  </r>
  <r>
    <n v="6"/>
    <s v="MANUEL FLORES"/>
    <s v="CELULAR"/>
    <s v="ADMINISTRATIVO"/>
    <x v="2"/>
    <s v="-"/>
    <s v="SAMSUNG"/>
    <s v="GALAYX A32"/>
    <n v="356263315213904"/>
    <s v="-"/>
    <s v="-"/>
    <s v="-"/>
    <s v="-"/>
    <s v="-"/>
    <s v="CLARO"/>
    <s v="-"/>
    <s v="-"/>
    <s v="-"/>
  </r>
  <r>
    <n v="7"/>
    <s v="JOSE CASTILLO"/>
    <s v="CELULAR"/>
    <s v="COMERCIAL"/>
    <x v="2"/>
    <s v="-"/>
    <s v="SAMSUNG"/>
    <s v="GALAXY A24"/>
    <n v="356241324966787"/>
    <s v="-"/>
    <s v="-"/>
    <d v="2023-11-13T00:00:00"/>
    <s v="-"/>
    <s v="-"/>
    <s v="CLARO"/>
    <s v="-"/>
    <s v="-"/>
    <s v="-"/>
  </r>
  <r>
    <n v="8"/>
    <s v="ANA MALCA"/>
    <s v="CELULAR"/>
    <s v="COMERCIAL"/>
    <x v="0"/>
    <s v="-"/>
    <s v="SAMSUNG"/>
    <s v="GALAXY A14"/>
    <n v="357494912714270"/>
    <s v="-"/>
    <s v="-"/>
    <d v="2024-02-07T00:00:00"/>
    <s v="-"/>
    <s v="-"/>
    <s v="CLARO"/>
    <s v="-"/>
    <s v="-"/>
    <s v="-"/>
  </r>
  <r>
    <n v="9"/>
    <s v="YESSICA DELGADO"/>
    <s v="CELULAR"/>
    <s v="COMERCIAL"/>
    <x v="2"/>
    <s v="-"/>
    <s v="SAMSUNG"/>
    <s v="GALAXY A15"/>
    <n v="359104251096332"/>
    <s v="-"/>
    <s v="-"/>
    <s v="-"/>
    <s v="-"/>
    <s v="-"/>
    <s v="CLARO"/>
    <s v="-"/>
    <s v="-"/>
    <s v="-"/>
  </r>
  <r>
    <n v="10"/>
    <s v="JACQUELYN ESTRADA"/>
    <s v="CELULAR"/>
    <s v="RRHH"/>
    <x v="2"/>
    <s v="-"/>
    <s v="SAMSUNG"/>
    <s v="GALAXY A32"/>
    <n v="356263315583231"/>
    <s v="-"/>
    <s v="-"/>
    <s v="-"/>
    <s v="-"/>
    <s v="-"/>
    <s v="CLARO"/>
    <s v="-"/>
    <s v="-"/>
    <s v="-"/>
  </r>
  <r>
    <n v="11"/>
    <s v="DIONISIA PARDO"/>
    <s v="CELULAR"/>
    <s v="COMERCIAL"/>
    <x v="2"/>
    <s v="-"/>
    <s v="SAMSUNG"/>
    <s v="GALAXY A24"/>
    <n v="356241324875251"/>
    <s v="-"/>
    <s v="-"/>
    <d v="2023-11-13T00:00:00"/>
    <s v="-"/>
    <s v="-"/>
    <s v="CLARO"/>
    <s v="-"/>
    <s v="-"/>
    <s v="-"/>
  </r>
  <r>
    <n v="12"/>
    <s v="VIVIANA PINEDO"/>
    <s v="CELULAR"/>
    <s v="CALL CENTER"/>
    <x v="2"/>
    <s v="-"/>
    <s v="SAMSUNG"/>
    <s v="GALAXY A15"/>
    <n v="351456830436134"/>
    <s v="-"/>
    <s v="-"/>
    <s v="-"/>
    <s v="-"/>
    <s v="-"/>
    <s v="CLARO"/>
    <s v="-"/>
    <s v="-"/>
    <s v="-"/>
  </r>
  <r>
    <n v="13"/>
    <s v="JOEL GUTIERREZ"/>
    <s v="CELULAR"/>
    <s v="COMERCIAL"/>
    <x v="2"/>
    <s v="-"/>
    <s v="SAMSUNG"/>
    <s v="GALAXY A31"/>
    <n v="358785932278322"/>
    <s v="-"/>
    <s v="-"/>
    <s v="-"/>
    <s v="-"/>
    <s v="-"/>
    <s v="CLARO"/>
    <s v="-"/>
    <s v="-"/>
    <s v="-"/>
  </r>
  <r>
    <n v="14"/>
    <s v="JOEL GUTIERREZ"/>
    <s v="CELULAR"/>
    <s v="COMERCIAL"/>
    <x v="2"/>
    <s v="-"/>
    <s v="SAMSUNG"/>
    <s v="GALAXY A32"/>
    <n v="352396400124943"/>
    <s v="-"/>
    <s v="-"/>
    <s v="-"/>
    <s v="-"/>
    <s v="-"/>
    <s v="CLARO"/>
    <s v="-"/>
    <s v="-"/>
    <s v="-"/>
  </r>
  <r>
    <n v="15"/>
    <s v="JAZMIN MOSQUERA"/>
    <s v="CELULAR"/>
    <s v="B2B"/>
    <x v="0"/>
    <s v="-"/>
    <s v="SAMSUNG"/>
    <s v="GALAXY A16"/>
    <n v="357269400224606"/>
    <s v="-"/>
    <s v="-"/>
    <d v="2025-11-05T00:00:00"/>
    <s v="-"/>
    <s v="-"/>
    <s v="CLARO"/>
    <s v="-"/>
    <s v="-"/>
    <s v="-"/>
  </r>
  <r>
    <n v="16"/>
    <s v="JORGE VILA"/>
    <s v="CELULAR"/>
    <s v="B2B"/>
    <x v="2"/>
    <n v="913733596"/>
    <s v="SAMSUNG"/>
    <s v="GALAXY A32"/>
    <n v="356263314965835"/>
    <s v="RF8R60KPASH"/>
    <s v="-"/>
    <d v="2025-12-04T00:00:00"/>
    <s v="-"/>
    <s v="-"/>
    <s v="CLARO"/>
    <s v="-"/>
    <s v="SI"/>
    <s v="SI"/>
  </r>
  <r>
    <n v="17"/>
    <s v="JORGE TENORIO"/>
    <s v="CELULAR"/>
    <s v="COMERCIAL"/>
    <x v="2"/>
    <n v="934949476"/>
    <s v="SAMSUNG"/>
    <s v="GALAXY A15"/>
    <n v="351456831099220"/>
    <s v="RF8X20CYFGZ"/>
    <s v="-"/>
    <d v="2024-02-16T00:00:00"/>
    <d v="2024-09-06T00:00:00"/>
    <s v="-"/>
    <s v="CLARO"/>
    <s v="MAX NEGOCIOS + 55.90"/>
    <s v="NO"/>
    <s v="NO"/>
  </r>
  <r>
    <n v="18"/>
    <s v="SAYURI JOAQUIN"/>
    <s v="CELULAR"/>
    <s v="COMERCIAL"/>
    <x v="3"/>
    <n v="905433784"/>
    <s v="SAMSUNG"/>
    <s v="GALAXY A24"/>
    <n v="356241328926266"/>
    <s v="R58WA05JB0K"/>
    <s v="-"/>
    <d v="2024-01-10T00:00:00"/>
    <d v="2025-09-18T00:00:00"/>
    <e v="#REF!"/>
    <s v="CLARO"/>
    <s v="-"/>
    <s v="SI"/>
    <s v="SI"/>
  </r>
  <r>
    <n v="19"/>
    <s v="MARIO VILLEGAS"/>
    <s v="CELULAR"/>
    <s v="PM"/>
    <x v="3"/>
    <n v="933659350"/>
    <s v="SAMSUNG"/>
    <s v="GALAXY A31"/>
    <n v="358785932275245"/>
    <s v="-"/>
    <s v="-"/>
    <s v="-"/>
    <d v="2025-10-10T00:00:00"/>
    <e v="#REF!"/>
    <s v="CLARO"/>
    <s v="MAX NEGOCIOS + 55.90"/>
    <s v="NO"/>
    <s v="NO"/>
  </r>
  <r>
    <n v="20"/>
    <s v="MANUEL FLORES"/>
    <s v="CELULAR"/>
    <s v="COBRANZAS"/>
    <x v="3"/>
    <s v="-"/>
    <s v="SAMSUNG"/>
    <s v="GALAXY A31"/>
    <n v="358785932316650"/>
    <s v="R58NB4HTKTY"/>
    <s v="128 GB"/>
    <s v="-"/>
    <d v="2025-03-10T00:00:00"/>
    <e v="#REF!"/>
    <s v="CLARO"/>
    <s v="MAX NEGOCIOS + 55.90"/>
    <s v="SI"/>
    <s v="SI"/>
  </r>
  <r>
    <n v="21"/>
    <s v="JUAN MALLQUI"/>
    <s v="CELULAR"/>
    <s v="COMERCIAL"/>
    <x v="3"/>
    <s v="-"/>
    <s v="SAMSUNG"/>
    <s v="GALAXY A31"/>
    <n v="358785932276318"/>
    <s v="R58NB4EPVEY"/>
    <s v="128 GB"/>
    <s v="-"/>
    <d v="2025-11-17T00:00:00"/>
    <e v="#REF!"/>
    <s v="CLARO"/>
    <s v="-"/>
    <s v="-"/>
    <s v="-"/>
  </r>
  <r>
    <n v="22"/>
    <s v="JORGE TENORIO"/>
    <s v="CELULAR"/>
    <s v="COMERCIAL"/>
    <x v="3"/>
    <n v="934949476"/>
    <s v="SAMSUNG"/>
    <s v="GALAXY A31"/>
    <n v="358785932294063"/>
    <s v="R58NB4ERG7K"/>
    <s v="-"/>
    <s v="-"/>
    <d v="2021-07-01T00:00:00"/>
    <e v="#REF!"/>
    <s v="CLARO"/>
    <s v="MAX NEGOCIOS + 55.90"/>
    <s v="SI"/>
    <s v="SI"/>
  </r>
  <r>
    <n v="23"/>
    <s v="MARIO VILLEGAS"/>
    <s v="CELULAR"/>
    <s v="PM"/>
    <x v="3"/>
    <n v="933659350"/>
    <s v="SAMSUNG"/>
    <s v="GALAXY A22"/>
    <n v="350640425775409"/>
    <s v="R58T40FEZ9L"/>
    <s v="-"/>
    <s v="-"/>
    <d v="2025-11-17T00:00:00"/>
    <e v="#REF!"/>
    <s v="CLARO"/>
    <s v="MAX NEGOCIOS + 55.90"/>
    <s v="SI"/>
    <s v="SI"/>
  </r>
  <r>
    <n v="24"/>
    <s v="HECTOR JUAREZ"/>
    <s v="CELULAR"/>
    <s v="COMERCIAL"/>
    <x v="3"/>
    <n v="960658466"/>
    <s v="SAMSUNG"/>
    <s v="GALAXY A13"/>
    <n v="351066360498246"/>
    <s v="R58TC0FM92N"/>
    <s v="-"/>
    <d v="2023-03-30T00:00:00"/>
    <d v="2023-04-14T00:00:00"/>
    <e v="#REF!"/>
    <s v="CLARO"/>
    <s v="MAX NEGOCIOS + 55.90"/>
    <s v="SI"/>
    <s v="SI"/>
  </r>
  <r>
    <n v="25"/>
    <s v="DIANA HERNANDEZ"/>
    <s v="CELULAR"/>
    <s v="TI"/>
    <x v="3"/>
    <s v="-"/>
    <s v="APPLE"/>
    <s v="IPHONE 8"/>
    <n v="359494088479672"/>
    <s v="-"/>
    <s v="-"/>
    <s v="-"/>
    <d v="2020-03-11T00:00:00"/>
    <e v="#REF!"/>
    <s v="CLARO"/>
    <s v="-"/>
    <s v="NO"/>
    <s v="NO"/>
  </r>
  <r>
    <n v="26"/>
    <s v="GUILLERMO MALCA"/>
    <s v="CELULAR"/>
    <s v="COMERCIAL"/>
    <x v="3"/>
    <s v="-"/>
    <s v="SAMSUNG"/>
    <s v="GALAXY A24"/>
    <n v="356241324983253"/>
    <s v="R58W60Y4DJK"/>
    <s v="-"/>
    <d v="2024-01-10T00:00:00"/>
    <d v="2024-12-31T00:00:00"/>
    <e v="#REF!"/>
    <s v="CLARO"/>
    <s v="-"/>
    <s v="-"/>
    <s v="-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n v="1"/>
    <s v="3227111-001"/>
    <s v="DANIEL ROJAS"/>
    <s v="LAPTOP"/>
    <x v="0"/>
    <s v="COMERCIAL"/>
    <s v="LP-DROJAS"/>
    <s v="HP"/>
    <s v="240 G6"/>
    <s v="5CD8226VHF"/>
    <s v="I3"/>
    <s v="7020U"/>
    <n v="8"/>
    <s v="512 SSD"/>
    <s v="14&quot;"/>
    <s v="W10 PRO"/>
    <s v="MICROSOFT 365 EMPRESA BÁSICO"/>
    <s v="PPP009D"/>
    <s v="WFTKV0EGC77FD5"/>
    <s v="-"/>
    <s v="-"/>
  </r>
  <r>
    <n v="2"/>
    <s v="3227111-001"/>
    <s v="JEIMMY URIARTE"/>
    <s v="LAPTOP"/>
    <x v="0"/>
    <s v="CENTRO DE DISTRIBUCIÓN"/>
    <s v="LP-JURIARTE"/>
    <s v="HP"/>
    <s v="240 G6"/>
    <s v="5CD82226VK9"/>
    <s v="I3"/>
    <s v="7020U"/>
    <n v="8"/>
    <s v="512 SSD"/>
    <s v="14&quot;"/>
    <s v="W10 PRO"/>
    <s v="-"/>
    <s v="-"/>
    <s v="-"/>
    <s v="-"/>
    <s v="-"/>
  </r>
  <r>
    <n v="3"/>
    <s v="3227111-001"/>
    <s v="MIRIAM PINEDA"/>
    <s v="LAPTOP"/>
    <x v="0"/>
    <s v="COMERCIAL"/>
    <s v="LP-MPINEDA"/>
    <s v="HP"/>
    <s v="240 G6"/>
    <s v="5CD82226VJ1"/>
    <s v="I3"/>
    <s v="7020U"/>
    <n v="8"/>
    <s v="512 SSD"/>
    <s v="14&quot;"/>
    <s v="W10 PRO"/>
    <s v="-"/>
    <s v="HSTNN-DA40"/>
    <s v="WFTLD0ECXAFSIU"/>
    <s v="-"/>
    <s v="-"/>
  </r>
  <r>
    <n v="4"/>
    <s v="3227111-001"/>
    <s v="MIRIAM PINEDA"/>
    <s v="LAPTOP"/>
    <x v="0"/>
    <s v="COMERCIAL"/>
    <s v="LP-MPINEDA"/>
    <s v="HP"/>
    <s v="240 G6"/>
    <s v="5CD82226V71"/>
    <s v="I3"/>
    <s v="7020U"/>
    <n v="8"/>
    <s v="512 SSD"/>
    <s v="14&quot;"/>
    <s v="W10 PRO"/>
    <s v="MICROSOFT 365 EMPRESA BÁSICO"/>
    <s v="PPP009D"/>
    <s v="WCNXC0AAR3P1IP"/>
    <s v="-"/>
    <s v="-"/>
  </r>
  <r>
    <n v="5"/>
    <s v="3227111-001"/>
    <s v="VIVIANA PINEDO"/>
    <s v="LAPTOP"/>
    <x v="0"/>
    <s v="CALL CENTER"/>
    <s v="LP-VPINEDO"/>
    <s v="HP"/>
    <s v="PROBOOK 450 G3"/>
    <s v="5CD7379QFL"/>
    <s v="I7"/>
    <s v="6500U"/>
    <n v="8"/>
    <s v="1 TB SSD"/>
    <s v="15.6&quot;"/>
    <s v="W10 PRO"/>
    <s v="MICROSOFT 365 EMPRESA ESTÁNDAR"/>
    <s v="HSTNN-LA40"/>
    <s v="WDUUV0B5R9HHJF"/>
    <s v="-"/>
    <s v="-"/>
  </r>
  <r>
    <n v="6"/>
    <s v="3361111-036"/>
    <s v="SIN USUARIO"/>
    <s v="LAPTOP"/>
    <x v="0"/>
    <s v="COMERCIAL"/>
    <s v="-"/>
    <s v="HP"/>
    <s v="240 G6"/>
    <s v="5CD8226VDZ"/>
    <s v="I3"/>
    <s v="7020U "/>
    <n v="8"/>
    <s v="512 SSD"/>
    <s v="14&quot;"/>
    <s v="W10 PRO"/>
    <s v="MICROSOFT 365 EMPRESA BÁSICO"/>
    <s v="HSTNN-CA40"/>
    <s v="-"/>
    <s v="-"/>
    <s v="-"/>
  </r>
  <r>
    <n v="7"/>
    <s v="3361111-046"/>
    <s v="SIN USUARIO"/>
    <s v="LAPTOP"/>
    <x v="0"/>
    <s v="TI"/>
    <s v="-"/>
    <s v="LENOVO"/>
    <s v="IDEAPAD 310-15ISK"/>
    <s v="PF0QWT1N"/>
    <s v="I5"/>
    <s v="6200U"/>
    <n v="12"/>
    <s v="1TB SSD"/>
    <s v="15.6&quot;"/>
    <s v="W10 PRO"/>
    <s v="-"/>
    <s v="ADLX65CLGU2A"/>
    <s v="8SSA10M42725L1CZ0BK0BTY"/>
    <s v="-"/>
    <s v="-"/>
  </r>
  <r>
    <n v="8"/>
    <s v="3361111-053"/>
    <s v="HEBER PINEDO"/>
    <s v="LAPTOP"/>
    <x v="0"/>
    <s v="TI"/>
    <s v="-"/>
    <s v="LENOVO"/>
    <s v="THINKPAD T460"/>
    <s v="PC0K48R"/>
    <s v="I7"/>
    <s v="6500U"/>
    <n v="12"/>
    <s v="1 TB SSD"/>
    <s v="14&quot;"/>
    <s v="W11 PRO"/>
    <s v="-"/>
    <s v="AF04"/>
    <s v="11S92P1105ZBEIQ9JQ1418"/>
    <s v="-"/>
    <s v="-"/>
  </r>
  <r>
    <n v="9"/>
    <s v="3361111-065"/>
    <s v="SIN USUARIO"/>
    <s v="LAPTOP"/>
    <x v="0"/>
    <s v="RRHH"/>
    <s v="LP-JESTRADA2"/>
    <s v="HP"/>
    <s v="15-CC508LA"/>
    <s v="5CD7262SJV"/>
    <s v="I7"/>
    <s v="7500U"/>
    <n v="12"/>
    <s v="512 SSD"/>
    <s v="15.6&quot;"/>
    <s v="W10 PRO"/>
    <s v="MICROSOFT 365 EMPRESA ESTÁNDAR"/>
    <s v="HSTNN-CA40"/>
    <s v="WFTKU0EVKATL0H"/>
    <s v="-"/>
    <s v="-"/>
  </r>
  <r>
    <n v="10"/>
    <s v="3361111-071"/>
    <s v="ESTELA ASTORGA"/>
    <s v="LAPTOP"/>
    <x v="0"/>
    <s v="TI"/>
    <s v="-"/>
    <s v="LENOVO"/>
    <s v="THINKPAD X260"/>
    <s v="PC0F0865"/>
    <s v="I7"/>
    <s v="6500U"/>
    <n v="16"/>
    <s v="512 SSD"/>
    <s v="14&quot;"/>
    <s v="W11 PRO"/>
    <s v="-"/>
    <s v="-"/>
    <s v="-"/>
    <s v="-"/>
    <s v="-"/>
  </r>
  <r>
    <n v="11"/>
    <s v="3361111-083"/>
    <s v="CRISTHIAN AREVALO"/>
    <s v="LAPTOP"/>
    <x v="0"/>
    <s v="BI"/>
    <s v="LP-BI"/>
    <s v="LENOVO"/>
    <s v="THINKPAD 11E"/>
    <s v="LR0ANYBE"/>
    <s v="I3"/>
    <s v="6100U"/>
    <n v="8"/>
    <s v="256 SSD"/>
    <s v="11.6&quot;"/>
    <s v="W10 PRO"/>
    <s v="-"/>
    <s v="ADLX45NCC2A"/>
    <s v="SA10E75794"/>
    <s v="-"/>
    <s v="-"/>
  </r>
  <r>
    <n v="12"/>
    <s v="3361111-111"/>
    <s v="FELIX YACTAYO"/>
    <s v="LAPTOP"/>
    <x v="0"/>
    <s v="CENTRO DE DISTRIBUCIÓN"/>
    <s v="LP-FYACTAYO"/>
    <s v="DELL"/>
    <s v="VOSTRO 3400"/>
    <s v="GRL3LF3"/>
    <s v="I5"/>
    <s v="1135G7 "/>
    <n v="12"/>
    <s v="512 SSD"/>
    <s v="14&quot;"/>
    <s v="W11 PRO"/>
    <s v="-"/>
    <m/>
    <s v="-"/>
    <s v="-"/>
    <s v="-"/>
  </r>
  <r>
    <n v="13"/>
    <s v="3361111-111"/>
    <s v="KATHERIN ROJAS"/>
    <s v="LAPTOP"/>
    <x v="0"/>
    <s v="COMERCIAL"/>
    <s v="LP-KROJAS"/>
    <s v="DELL"/>
    <s v="VOSTRO 3400"/>
    <s v="GP2CVC3"/>
    <s v="I5"/>
    <s v="1135G7 "/>
    <n v="16"/>
    <s v="512 SSD"/>
    <s v="14&quot;"/>
    <s v="W11 PRO"/>
    <s v="-"/>
    <s v="FSP030-DQDA1"/>
    <s v="LA0721120302AD02204"/>
    <s v="-"/>
    <s v="-"/>
  </r>
  <r>
    <n v="14"/>
    <s v="3361111-113"/>
    <s v="CESAR VALENCIA"/>
    <s v="LAPTOP"/>
    <x v="0"/>
    <s v="PRODUCTOS"/>
    <s v="LP-CVALENCIA2"/>
    <s v="DELL"/>
    <s v="VOSTRO 3400"/>
    <s v="3TYYVC3"/>
    <s v="I5"/>
    <s v="1135G7 "/>
    <n v="8"/>
    <s v="512 SSD"/>
    <s v="14&quot;"/>
    <s v="W10 PRO"/>
    <s v="MICROSOFT 365 EMPRESA ESTÁNDAR"/>
    <s v="DA45NM140"/>
    <s v="CN-0YTFJC-DES00-0C3-GY02-A08"/>
    <s v="-"/>
    <s v="-"/>
  </r>
  <r>
    <n v="15"/>
    <s v="3361111-113"/>
    <s v="MABEL ACUÑA"/>
    <s v="LAPTOP"/>
    <x v="0"/>
    <s v="COMERCIAL"/>
    <s v="LP-MACUNA"/>
    <s v="DELL"/>
    <s v="VOSTRO 3400"/>
    <s v="57MBVC3"/>
    <s v="I5"/>
    <s v="1135G7 "/>
    <n v="8"/>
    <s v="512 SSD"/>
    <s v="14&quot;"/>
    <s v="W11 PRO"/>
    <s v="-"/>
    <s v="HA65NM130"/>
    <s v="CN-06TFFF-75661-37D-6SHE-A00"/>
    <s v="-"/>
    <s v="-"/>
  </r>
  <r>
    <n v="16"/>
    <s v="3361111-118"/>
    <s v="ESTELA ASTORGA"/>
    <s v="LAPTOP"/>
    <x v="0"/>
    <s v="COMERCIAL"/>
    <s v="LP-EASTORGA"/>
    <s v="DELL"/>
    <s v="VOSTRO 3400"/>
    <s v="82MT1D3"/>
    <s v="I5"/>
    <s v="1135G7 "/>
    <n v="8"/>
    <s v="1 TBB HDD"/>
    <s v="14&quot;"/>
    <s v="W10 PRO"/>
    <s v="-"/>
    <m/>
    <s v="-"/>
    <s v="-"/>
    <s v="-"/>
  </r>
  <r>
    <n v="17"/>
    <s v="3361111-126"/>
    <s v="MARCIO MOSTACERO"/>
    <s v="LAPTOP"/>
    <x v="0"/>
    <s v="COMERCIAL"/>
    <s v="LP-MMOSTACERO"/>
    <s v="DELL"/>
    <s v="VOSTRO 3400"/>
    <s v="JDH9VC3"/>
    <s v="I5"/>
    <s v="1135G7 "/>
    <n v="8"/>
    <s v="500 SSD"/>
    <s v="14&quot;"/>
    <s v="W11 PRO"/>
    <s v="MICROSOFT 365 EMPRESA BÁSICO"/>
    <s v="DA45NM140"/>
    <s v="CN-0YTFJC-DES00-138-48QI-A08"/>
    <s v="-"/>
    <s v="-"/>
  </r>
  <r>
    <n v="18"/>
    <s v="3361111-126"/>
    <s v="PAOLA CCAHUANA"/>
    <s v="LAPTOP"/>
    <x v="0"/>
    <s v="B2B"/>
    <s v="LP-PCCAHUANA"/>
    <s v="DELL"/>
    <s v="VOSTRO 3400"/>
    <s v="8W36LF3"/>
    <s v="I5"/>
    <s v="1135G7 "/>
    <n v="8"/>
    <s v="512 SSD"/>
    <s v="14&quot;"/>
    <s v="W11 PRO"/>
    <m/>
    <s v="LA45NM140"/>
    <s v="CN-0KXTTW-72438-63G-147D-A01"/>
    <s v="-"/>
    <s v="-"/>
  </r>
  <r>
    <n v="19"/>
    <s v="3361111-231"/>
    <s v="SANDRA JUAREZ"/>
    <s v="LAPTOP"/>
    <x v="0"/>
    <s v="CALL CENTER"/>
    <s v="LP-SJUAREZ"/>
    <s v="HP"/>
    <s v="240 G6"/>
    <s v="5CD8226VCC"/>
    <s v="I3"/>
    <s v="7020U"/>
    <n v="8"/>
    <s v="512 SSD"/>
    <s v="14&quot;"/>
    <s v="W10 PRO"/>
    <s v="MICROSOFT 365 EMPRESA ESTÁNDAR"/>
    <s v="PPP009D"/>
    <s v="WCNXC0AAR3P1IP"/>
    <s v="-"/>
    <s v="-"/>
  </r>
  <r>
    <n v="20"/>
    <s v="3227111-001"/>
    <s v="SIN USUARIO"/>
    <s v="LAPTOP"/>
    <x v="0"/>
    <s v="B2B"/>
    <s v="LP-EAPAZA2"/>
    <s v="HP"/>
    <s v="240 G6"/>
    <s v="5CD8226VKD"/>
    <s v="I3"/>
    <s v="7200U"/>
    <n v="16"/>
    <s v="512 SSD"/>
    <s v="14&quot;"/>
    <s v="W11 PRO"/>
    <s v="MICROSOFT 365 EMPRESA BÁSICO"/>
    <s v="HSTNN-DA40"/>
    <s v="WFTLD0ECXAFSIU"/>
    <s v="-"/>
    <s v="-"/>
  </r>
  <r>
    <n v="21"/>
    <s v="3361111-168"/>
    <s v="SIN USUARIO"/>
    <s v="LAPTOP"/>
    <x v="0"/>
    <s v="COMERCIAL"/>
    <s v="LP-CAGUIRRE2"/>
    <s v="HP"/>
    <s v="14-DQ2510LA"/>
    <s v="5CD225BCF6"/>
    <s v="I3"/>
    <s v="1115G4"/>
    <n v="8"/>
    <s v="512 SSD"/>
    <s v="14&quot;"/>
    <s v="W11 PRO"/>
    <s v="MICROSOFT 365 EMPRESA BÁSICO"/>
    <s v="TPN-CA14"/>
    <s v="WHGRE0BNJEZUJS0B"/>
    <s v="-"/>
    <s v="-"/>
  </r>
  <r>
    <n v="22"/>
    <s v="3361111-133"/>
    <s v="SIN USUARIO"/>
    <s v="LAPTOP"/>
    <x v="0"/>
    <s v="B2B"/>
    <s v="LP-JNUNEZ"/>
    <s v="DELL"/>
    <s v="VOSTRO 3400"/>
    <s v="CPDH0H3"/>
    <s v="I7"/>
    <s v="1165G7"/>
    <n v="16"/>
    <s v="512 SSD"/>
    <s v="14&quot;"/>
    <s v="W10 PRO"/>
    <s v="MICROSOFT 365 EMPRESA ESTÁNDAR"/>
    <m/>
    <m/>
    <s v="-"/>
    <s v="-"/>
  </r>
  <r>
    <n v="23"/>
    <s v="3361111-108"/>
    <s v="SIN USUARIO"/>
    <s v="LAPTOP"/>
    <x v="0"/>
    <s v="CALL CENTER"/>
    <s v="LP-YRAMOS"/>
    <s v="DELL"/>
    <s v="VOSTRO 3400"/>
    <s v="4QBHJ93"/>
    <s v="I5"/>
    <s v="1135G7 "/>
    <n v="16"/>
    <s v="512 SSD"/>
    <s v="14&quot;"/>
    <s v="W11 PRO"/>
    <s v="MICROSOFT 365 EMPRESA ESTÁNDAR"/>
    <s v="LA45NM140"/>
    <s v="CN-0KXTTW-LOC00-0AR-736C-A12"/>
    <s v="-"/>
    <s v="-"/>
  </r>
  <r>
    <n v="24"/>
    <s v="3361111-016"/>
    <s v="SIN USUARIO"/>
    <s v="LAPTOP"/>
    <x v="0"/>
    <s v="COBRANZAS"/>
    <s v="LP-JVILLAGARAY2"/>
    <s v="LENOVO"/>
    <s v="B590"/>
    <s v="WB11742034"/>
    <s v="I5"/>
    <s v="3230M"/>
    <n v="8"/>
    <s v="500 HDD"/>
    <s v="15.6&quot;"/>
    <s v="W10 PRO"/>
    <s v="MICROSOFT 365 EMPRESA ESTÁNDAR"/>
    <s v="ADLX65NLT2A"/>
    <s v="11S36200291ZZ30035608G"/>
    <s v="-"/>
    <s v="-"/>
  </r>
  <r>
    <n v="25"/>
    <s v="3361111-090"/>
    <s v="TI"/>
    <s v="LAPTOP"/>
    <x v="0"/>
    <s v="TI"/>
    <s v="LP-PRUEBAS"/>
    <s v="HP"/>
    <s v="ENVY 15-CN002LA"/>
    <s v="8CG92303TH"/>
    <s v="I7"/>
    <s v="8550U"/>
    <n v="32"/>
    <s v="512 SSD"/>
    <s v="15.6&quot;"/>
    <s v="W11 PRO"/>
    <s v="-"/>
    <s v="TPN-DA14"/>
    <s v="WHGJC0AARCBCQO"/>
    <s v="-"/>
    <s v="-"/>
  </r>
  <r>
    <n v="26"/>
    <s v="-"/>
    <s v="SIN USUARIO"/>
    <s v="DESKTOP"/>
    <x v="0"/>
    <s v="TI"/>
    <s v="-"/>
    <s v="DELL"/>
    <s v="OPTIPLEX 7010"/>
    <s v="6LN1BZ1"/>
    <s v="I7"/>
    <n v="3770"/>
    <n v="8"/>
    <s v="1 TB HDD"/>
    <s v="-"/>
    <s v="W10 PRO"/>
    <s v="-"/>
    <s v="-"/>
    <s v="-"/>
    <s v="-"/>
    <s v="-"/>
  </r>
  <r>
    <n v="27"/>
    <s v="-"/>
    <s v="ASISTENCIA BSF"/>
    <s v="DESKTOP"/>
    <x v="0"/>
    <s v="CENTRO DE DISTRIBUCIÓN"/>
    <s v="PC-ASISTENCIABSF"/>
    <s v="-"/>
    <s v="-"/>
    <s v="-"/>
    <s v="I5"/>
    <n v="3330"/>
    <n v="16"/>
    <s v="1 TB HDD"/>
    <s v="-"/>
    <s v="W10 PRO"/>
    <s v="-"/>
    <s v="-"/>
    <s v="-"/>
    <s v="-"/>
    <s v="-"/>
  </r>
  <r>
    <n v="28"/>
    <s v="3361111-159"/>
    <s v="SIN USUARIO"/>
    <s v="LAPTOP"/>
    <x v="0"/>
    <s v="RECEPCION"/>
    <s v="LP-KROJAS2"/>
    <s v="HP"/>
    <s v="THINKPAD E15 GEN2"/>
    <s v="PF3WPQW3"/>
    <s v="I7"/>
    <s v="1165G7"/>
    <n v="16"/>
    <s v="512 SSD"/>
    <s v="15.6&quot;"/>
    <s v="W11 PRO"/>
    <s v="MICROSOFT 365 EMPRESA ESTÁNDAR"/>
    <s v="ADLX65YLC2D"/>
    <s v="8SSA10R16873L1CZ24B0020"/>
    <s v="-"/>
    <s v="-"/>
  </r>
  <r>
    <n v="29"/>
    <s v="3361111-113"/>
    <s v="SIN USUARIO"/>
    <s v="LAPTOP"/>
    <x v="0"/>
    <s v="COMERCIAL"/>
    <s v="LP-JHERMOZA2"/>
    <s v="DELL"/>
    <s v="VOSTRO 3400"/>
    <s v="BBXPVC3"/>
    <s v="I5"/>
    <s v="1135U"/>
    <n v="8"/>
    <s v="512 SSD"/>
    <s v="14&quot;"/>
    <s v="W11 PRO"/>
    <s v="MICROSOFT 365 EMPRESA BÁSICO"/>
    <s v="HA45NM140"/>
    <s v="CN-00285K-CH200-07R-0FIO-A08"/>
    <d v="2021-06-07T00:00:00"/>
    <s v="-"/>
  </r>
  <r>
    <n v="30"/>
    <s v="3361111-104"/>
    <s v="SIN USUARIO"/>
    <s v="LAPTOP"/>
    <x v="0"/>
    <s v="CENTRO DE DISTRIBUCIÓN"/>
    <s v="LP-WMARTINEZ2"/>
    <s v="HP"/>
    <s v="250 G7"/>
    <s v="CND10325WW"/>
    <s v="I5"/>
    <s v="1035G1 "/>
    <n v="16"/>
    <s v="512 SSD"/>
    <s v="15.6&quot;"/>
    <s v="W11 PRO"/>
    <s v="MICROSOFT 365 EMPRESA ESTÁNDAR"/>
    <s v="PPP009D"/>
    <s v="WCNXC0AAR3P4VH"/>
    <d v="2021-08-03T00:00:00"/>
    <s v="-"/>
  </r>
  <r>
    <n v="31"/>
    <s v="3361111-055"/>
    <s v="SIN USUARIO (ALEXIS CHALLCO)"/>
    <s v="LAPTOP"/>
    <x v="0"/>
    <s v="CENTRO DE DISTRIBUCIÓN"/>
    <s v="LP-ACHALLCO3"/>
    <s v="LENOVO"/>
    <s v="THINKPAD L490"/>
    <s v="PF2CFCWL"/>
    <s v="I7"/>
    <s v="8565U "/>
    <n v="16"/>
    <s v="1 TB SSD"/>
    <s v="14&quot;"/>
    <s v="W11 PRO"/>
    <s v="MICROSOFT 365 EMPRESA ESTÁNDAR"/>
    <s v="ADLX65YLC2D"/>
    <s v="8SSA10R16873L1CZ04W17LG"/>
    <d v="2017-04-10T00:00:00"/>
    <s v="-"/>
  </r>
  <r>
    <n v="32"/>
    <s v="3227111-001"/>
    <s v="SIN USUARIO (GERSON APOLINARIO)"/>
    <s v="LAPTOP"/>
    <x v="0"/>
    <s v="CENTRO DE DISTRIBUCIÓN"/>
    <s v="LP-GAPOLINARIO"/>
    <s v="HP"/>
    <s v="240 G6"/>
    <s v="5CD8226VH6"/>
    <s v="I3"/>
    <s v="7020U"/>
    <n v="8"/>
    <s v="512 SSD"/>
    <s v="14&quot;"/>
    <s v="W11 PRO"/>
    <s v="MICROSOFT 365 EMPRESA ESTÁNDAR"/>
    <s v="TPN-LA15"/>
    <s v="WHHRE0A5REVITS"/>
    <s v="5/28/2019"/>
    <s v="-"/>
  </r>
  <r>
    <n v="33"/>
    <s v="3361111-058"/>
    <s v="SIN USUARIO (SEGURIDAD BSF)"/>
    <s v="LAPTOP"/>
    <x v="0"/>
    <s v="CENTRO DE DISTRIBUCIÓN"/>
    <s v="LP-SEGURIDADBSF"/>
    <s v="LENOVO"/>
    <s v="THINKPAD E570"/>
    <s v="PF0YR6M8"/>
    <s v="I7"/>
    <s v="7500U "/>
    <n v="16"/>
    <s v="512 SSD"/>
    <s v="15.6&quot;"/>
    <s v="W10 PRO"/>
    <s v="-"/>
    <s v="ADLX65NLC3A"/>
    <s v="11S36200Z2002CLM18"/>
    <s v="12/30/2017"/>
    <s v="-"/>
  </r>
  <r>
    <n v="34"/>
    <s v="3361111-056"/>
    <s v="BODEGA BSF"/>
    <s v="LAPTOP"/>
    <x v="0"/>
    <s v="CENTRO DE DISTRIBUCIÓN"/>
    <s v="BK_BSF"/>
    <s v="LENOVO"/>
    <s v="THINKPAD E570"/>
    <s v="PF0WUQ2J (PF12WY0Z)"/>
    <s v="I7"/>
    <s v="7500U "/>
    <n v="16"/>
    <s v="512 SSD"/>
    <s v="15.6&quot;"/>
    <s v="W10 PRO"/>
    <s v="-"/>
    <s v="ADLX65NLC3A"/>
    <s v="8S5A10J75114L1CZ8B8006H"/>
    <d v="2017-02-11T00:00:00"/>
    <s v="-"/>
  </r>
  <r>
    <m/>
    <s v="3227111-001"/>
    <s v="CHRISTIAN CHOQUE"/>
    <s v="LAPTOP"/>
    <x v="1"/>
    <s v="-"/>
    <s v="-"/>
    <s v="HP"/>
    <s v="250 G7"/>
    <s v="CND103268J"/>
    <s v="I5"/>
    <s v="1035G1 "/>
    <n v="16"/>
    <s v="512 SSD"/>
    <s v="15.6&quot;"/>
    <s v="W11 PRO"/>
    <s v="-"/>
    <s v="PPP009D"/>
    <s v="WHGRE0BVKEK7LE"/>
    <s v="-"/>
    <s v="-"/>
  </r>
  <r>
    <m/>
    <s v="3361111-120"/>
    <s v="JAZMIN MOSQUERA"/>
    <s v="LAPTOP"/>
    <x v="1"/>
    <s v="ADMINISTRATIVO"/>
    <s v="-"/>
    <s v="HP"/>
    <s v="348 G7"/>
    <s v="5CG125BSS4"/>
    <s v="I7"/>
    <s v="10510U"/>
    <n v="16"/>
    <s v="512 SSD"/>
    <s v="14&quot;"/>
    <s v="W10 PRO"/>
    <s v="-"/>
    <s v="TPN-LA16"/>
    <s v="WHHRF0A3UF424M"/>
    <s v="-"/>
    <s v="-"/>
  </r>
  <r>
    <m/>
    <s v="3361111-202"/>
    <s v="JOSE CASTILLO"/>
    <s v="LAPTOP"/>
    <x v="1"/>
    <s v="COMERCIAL"/>
    <s v="-"/>
    <s v="HP"/>
    <s v="240 G9"/>
    <s v="5CG31051TT"/>
    <s v="I5"/>
    <s v="1235U"/>
    <n v="8"/>
    <s v="512 SSD"/>
    <s v="14&quot;"/>
    <s v="W11 PRO"/>
    <s v="-"/>
    <s v="TPN-LA15"/>
    <s v="WHHRE0A3UHHIVX"/>
    <s v="-"/>
    <s v="-"/>
  </r>
  <r>
    <m/>
    <s v="3361111-246"/>
    <s v="MARCO AMORETTI"/>
    <s v="LAPTOP"/>
    <x v="1"/>
    <s v="B2B"/>
    <s v="-"/>
    <s v="HP"/>
    <s v="PROBOOK 440 G10"/>
    <s v="5CD4298SG5"/>
    <s v="I5"/>
    <s v="1335U"/>
    <n v="16"/>
    <s v="512 SSD"/>
    <s v="14&quot;"/>
    <s v="W11 PRO"/>
    <s v="-"/>
    <s v="TPN-LA15"/>
    <s v="WHHRE0A4LJL6GY"/>
    <s v="-"/>
    <s v="-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s v="S17142523021809"/>
    <x v="0"/>
    <x v="0"/>
    <s v="-"/>
    <s v="-"/>
  </r>
  <r>
    <s v="S17142523021820"/>
    <x v="0"/>
    <x v="0"/>
    <s v="-"/>
    <s v="-"/>
  </r>
  <r>
    <s v="S17142523021401"/>
    <x v="0"/>
    <x v="0"/>
    <s v="-"/>
    <s v="-"/>
  </r>
  <r>
    <s v="S17142523021760"/>
    <x v="0"/>
    <x v="0"/>
    <s v="-"/>
    <s v="-"/>
  </r>
  <r>
    <s v="S17142523021854"/>
    <x v="0"/>
    <x v="0"/>
    <s v="-"/>
    <s v="-"/>
  </r>
  <r>
    <s v="S17142523021291"/>
    <x v="0"/>
    <x v="0"/>
    <s v="-"/>
    <s v="-"/>
  </r>
  <r>
    <s v="S17142523021232"/>
    <x v="0"/>
    <x v="0"/>
    <s v="-"/>
    <s v="-"/>
  </r>
  <r>
    <s v="S17142523021991"/>
    <x v="0"/>
    <x v="0"/>
    <s v="-"/>
    <s v="-"/>
  </r>
  <r>
    <s v="S17142523021890"/>
    <x v="0"/>
    <x v="0"/>
    <s v="-"/>
    <s v="-"/>
  </r>
  <r>
    <s v="S17142523021635"/>
    <x v="0"/>
    <x v="0"/>
    <s v="-"/>
    <s v="-"/>
  </r>
  <r>
    <s v="S17142523021380"/>
    <x v="0"/>
    <x v="0"/>
    <s v="-"/>
    <s v="-"/>
  </r>
  <r>
    <s v="S17142523021953"/>
    <x v="0"/>
    <x v="0"/>
    <s v="-"/>
    <s v="-"/>
  </r>
  <r>
    <s v="S17142523021896"/>
    <x v="0"/>
    <x v="0"/>
    <s v="-"/>
    <s v="-"/>
  </r>
  <r>
    <s v="S17142523021435"/>
    <x v="0"/>
    <x v="0"/>
    <s v="-"/>
    <s v="-"/>
  </r>
  <r>
    <s v="S17142523021840"/>
    <x v="0"/>
    <x v="0"/>
    <s v="-"/>
    <s v="-"/>
  </r>
  <r>
    <s v="S17142523021289"/>
    <x v="0"/>
    <x v="0"/>
    <s v="-"/>
    <s v="-"/>
  </r>
  <r>
    <s v="S17142523021218"/>
    <x v="0"/>
    <x v="0"/>
    <s v="-"/>
    <s v="-"/>
  </r>
  <r>
    <s v="S17142523021480"/>
    <x v="0"/>
    <x v="0"/>
    <s v="-"/>
    <s v="-"/>
  </r>
  <r>
    <s v="S17142523021998"/>
    <x v="0"/>
    <x v="0"/>
    <s v="-"/>
    <s v="-"/>
  </r>
  <r>
    <s v="S17142523021948"/>
    <x v="0"/>
    <x v="1"/>
    <s v="-"/>
    <s v="-"/>
  </r>
  <r>
    <s v="S21229520101588"/>
    <x v="1"/>
    <x v="2"/>
    <s v="-"/>
    <s v="-"/>
  </r>
  <r>
    <s v="S21278520102265"/>
    <x v="1"/>
    <x v="2"/>
    <s v="-"/>
    <s v="-"/>
  </r>
  <r>
    <s v="S21229520101491"/>
    <x v="1"/>
    <x v="2"/>
    <s v="-"/>
    <s v="-"/>
  </r>
  <r>
    <s v="S21278520102346"/>
    <x v="1"/>
    <x v="2"/>
    <s v="-"/>
    <s v="-"/>
  </r>
  <r>
    <s v="S21278520102288"/>
    <x v="1"/>
    <x v="2"/>
    <s v="-"/>
    <s v="-"/>
  </r>
  <r>
    <s v="S21230520100995"/>
    <x v="1"/>
    <x v="2"/>
    <s v="-"/>
    <s v="-"/>
  </r>
  <r>
    <s v="S21229520101415"/>
    <x v="1"/>
    <x v="2"/>
    <s v="-"/>
    <s v="-"/>
  </r>
  <r>
    <s v="S21229520101365"/>
    <x v="1"/>
    <x v="2"/>
    <s v="-"/>
    <s v="-"/>
  </r>
  <r>
    <s v="S21229520101406"/>
    <x v="1"/>
    <x v="2"/>
    <s v="-"/>
    <s v="-"/>
  </r>
  <r>
    <s v="S21229520101303"/>
    <x v="1"/>
    <x v="2"/>
    <s v="-"/>
    <s v="-"/>
  </r>
  <r>
    <s v="S21278520101627"/>
    <x v="1"/>
    <x v="2"/>
    <s v="-"/>
    <s v="-"/>
  </r>
  <r>
    <s v="S21278520101676"/>
    <x v="1"/>
    <x v="2"/>
    <s v="-"/>
    <s v="-"/>
  </r>
  <r>
    <s v="S21230520100015"/>
    <x v="1"/>
    <x v="2"/>
    <s v="-"/>
    <s v="-"/>
  </r>
  <r>
    <s v="S21229520101393"/>
    <x v="1"/>
    <x v="2"/>
    <s v="-"/>
    <s v="-"/>
  </r>
  <r>
    <s v="S21278520101900"/>
    <x v="1"/>
    <x v="2"/>
    <s v="-"/>
    <s v="-"/>
  </r>
  <r>
    <s v="S21230520100817"/>
    <x v="1"/>
    <x v="2"/>
    <s v="-"/>
    <s v="-"/>
  </r>
  <r>
    <s v="S21229520101394"/>
    <x v="1"/>
    <x v="2"/>
    <s v="-"/>
    <s v="-"/>
  </r>
  <r>
    <s v="S21278520101762"/>
    <x v="1"/>
    <x v="2"/>
    <s v="-"/>
    <s v="-"/>
  </r>
  <r>
    <s v="S21229520101378"/>
    <x v="1"/>
    <x v="2"/>
    <s v="-"/>
    <s v="-"/>
  </r>
  <r>
    <s v="S21229520101439"/>
    <x v="1"/>
    <x v="2"/>
    <s v="-"/>
    <s v="-"/>
  </r>
  <r>
    <s v="S21278520102289"/>
    <x v="1"/>
    <x v="2"/>
    <s v="-"/>
    <s v="-"/>
  </r>
  <r>
    <s v="S21230520101031"/>
    <x v="1"/>
    <x v="2"/>
    <n v="2022"/>
    <d v="2025-03-31T00:00:00"/>
  </r>
  <r>
    <s v="S21229520101187"/>
    <x v="1"/>
    <x v="2"/>
    <s v="-"/>
    <s v="-"/>
  </r>
  <r>
    <s v="S21278520102378"/>
    <x v="1"/>
    <x v="2"/>
    <s v="-"/>
    <s v="-"/>
  </r>
  <r>
    <s v="S21278520101794"/>
    <x v="1"/>
    <x v="2"/>
    <s v="-"/>
    <s v="-"/>
  </r>
  <r>
    <s v="S23359525100735"/>
    <x v="1"/>
    <x v="0"/>
    <s v="-"/>
    <s v="-"/>
  </r>
  <r>
    <s v="S23360525100092"/>
    <x v="1"/>
    <x v="0"/>
    <s v="-"/>
    <s v="-"/>
  </r>
  <r>
    <s v="S23360525100126"/>
    <x v="1"/>
    <x v="0"/>
    <s v="-"/>
    <s v="-"/>
  </r>
  <r>
    <s v="S23360525100129"/>
    <x v="1"/>
    <x v="0"/>
    <s v="-"/>
    <s v="-"/>
  </r>
  <r>
    <s v="S23360525100144"/>
    <x v="1"/>
    <x v="0"/>
    <s v="-"/>
    <s v="-"/>
  </r>
  <r>
    <n v="24164525101640"/>
    <x v="1"/>
    <x v="0"/>
    <s v="-"/>
    <s v="-"/>
  </r>
  <r>
    <n v="24164525101641"/>
    <x v="1"/>
    <x v="0"/>
    <s v="-"/>
    <s v="-"/>
  </r>
  <r>
    <n v="24289525100891"/>
    <x v="1"/>
    <x v="0"/>
    <s v="-"/>
    <s v="-"/>
  </r>
  <r>
    <n v="24290525100599"/>
    <x v="1"/>
    <x v="0"/>
    <s v="-"/>
    <s v="-"/>
  </r>
  <r>
    <n v="24290525100618"/>
    <x v="1"/>
    <x v="0"/>
    <s v="-"/>
    <s v="-"/>
  </r>
  <r>
    <n v="24290525100937"/>
    <x v="1"/>
    <x v="0"/>
    <s v="-"/>
    <s v="-"/>
  </r>
  <r>
    <n v="24300525100984"/>
    <x v="1"/>
    <x v="0"/>
    <s v="-"/>
    <s v="-"/>
  </r>
  <r>
    <n v="24300525101128"/>
    <x v="1"/>
    <x v="0"/>
    <s v="-"/>
    <s v="-"/>
  </r>
  <r>
    <n v="24300525101135"/>
    <x v="1"/>
    <x v="0"/>
    <s v="-"/>
    <s v="-"/>
  </r>
  <r>
    <n v="24300525101141"/>
    <x v="1"/>
    <x v="0"/>
    <s v="-"/>
    <s v="-"/>
  </r>
  <r>
    <n v="24300525101149"/>
    <x v="1"/>
    <x v="0"/>
    <s v="-"/>
    <s v="-"/>
  </r>
  <r>
    <n v="24303525100521"/>
    <x v="1"/>
    <x v="0"/>
    <s v="-"/>
    <s v="-"/>
  </r>
  <r>
    <n v="24311525100972"/>
    <x v="1"/>
    <x v="0"/>
    <s v="-"/>
    <s v="-"/>
  </r>
  <r>
    <n v="24312525100774"/>
    <x v="1"/>
    <x v="0"/>
    <s v="-"/>
    <s v="-"/>
  </r>
  <r>
    <n v="24312525100751"/>
    <x v="1"/>
    <x v="0"/>
    <s v="-"/>
    <s v="-"/>
  </r>
  <r>
    <n v="24312525100768"/>
    <x v="1"/>
    <x v="0"/>
    <s v="-"/>
    <s v="-"/>
  </r>
  <r>
    <n v="24312525100784"/>
    <x v="1"/>
    <x v="0"/>
    <s v="-"/>
    <s v="-"/>
  </r>
  <r>
    <s v="S22042520100090"/>
    <x v="1"/>
    <x v="0"/>
    <s v="-"/>
    <s v="-"/>
  </r>
  <r>
    <s v="S25147523022184"/>
    <x v="2"/>
    <x v="0"/>
    <s v="-"/>
    <s v="-"/>
  </r>
  <r>
    <s v="S25147523022450"/>
    <x v="2"/>
    <x v="0"/>
    <s v="-"/>
    <s v="-"/>
  </r>
  <r>
    <s v="S25148523020594"/>
    <x v="2"/>
    <x v="0"/>
    <s v="-"/>
    <s v="-"/>
  </r>
  <r>
    <s v="S25148523020733"/>
    <x v="2"/>
    <x v="0"/>
    <s v="-"/>
    <s v="-"/>
  </r>
  <r>
    <s v="S25148523022174"/>
    <x v="2"/>
    <x v="0"/>
    <s v="-"/>
    <s v="-"/>
  </r>
  <r>
    <s v="S25148523022865"/>
    <x v="2"/>
    <x v="0"/>
    <s v="-"/>
    <s v="-"/>
  </r>
  <r>
    <s v="S25147523022264"/>
    <x v="2"/>
    <x v="0"/>
    <s v="-"/>
    <s v="-"/>
  </r>
  <r>
    <s v="S25147523022485"/>
    <x v="2"/>
    <x v="0"/>
    <s v="-"/>
    <s v="-"/>
  </r>
  <r>
    <s v="S25148523020559"/>
    <x v="2"/>
    <x v="0"/>
    <s v="-"/>
    <s v="-"/>
  </r>
  <r>
    <s v="S25148523020740"/>
    <x v="2"/>
    <x v="0"/>
    <s v="-"/>
    <s v="-"/>
  </r>
  <r>
    <s v="S25148523022342"/>
    <x v="2"/>
    <x v="0"/>
    <s v="-"/>
    <s v="-"/>
  </r>
  <r>
    <s v="S25147523022339"/>
    <x v="2"/>
    <x v="0"/>
    <s v="-"/>
    <s v="-"/>
  </r>
  <r>
    <s v="S25147523022488"/>
    <x v="2"/>
    <x v="0"/>
    <s v="-"/>
    <s v="-"/>
  </r>
  <r>
    <s v="S25148523020633"/>
    <x v="2"/>
    <x v="0"/>
    <s v="-"/>
    <s v="-"/>
  </r>
  <r>
    <s v="S25148523020849"/>
    <x v="2"/>
    <x v="0"/>
    <s v="-"/>
    <s v="-"/>
  </r>
  <r>
    <s v="S25148523022547"/>
    <x v="2"/>
    <x v="0"/>
    <s v="-"/>
    <s v="-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s v="SIN USUARIO (ANDRES CACHIMA)"/>
    <x v="0"/>
    <x v="0"/>
    <n v="977747205"/>
    <s v="30 GB"/>
    <s v="ZTE"/>
    <s v="MF920U MODEM BLANCO"/>
    <n v="862698066806918"/>
    <n v="320335510200"/>
    <d v="2023-12-15T00:00:00"/>
    <s v="CLARO"/>
    <s v="BAJA"/>
  </r>
  <r>
    <n v="2"/>
    <s v="CAROLINA PHILIPPS"/>
    <x v="0"/>
    <x v="0"/>
    <n v="981176846"/>
    <s v="30 GB"/>
    <s v="ZTE"/>
    <s v="MF920U MODEM BLANCO"/>
    <n v="862698066809110"/>
    <n v="320335510420"/>
    <d v="2023-11-16T00:00:00"/>
    <s v="CLARO"/>
    <s v="SI ESTA"/>
  </r>
  <r>
    <n v="3"/>
    <s v="EMILY APAZA"/>
    <x v="0"/>
    <x v="0"/>
    <n v="970536697"/>
    <s v="30 GB"/>
    <s v="ZTE"/>
    <s v="MF920U MODEM BLANCO"/>
    <n v="862398066278340"/>
    <n v="320135149827"/>
    <d v="2023-12-15T00:00:00"/>
    <s v="CLARO"/>
    <s v="-"/>
  </r>
  <r>
    <n v="4"/>
    <s v="JAVIER MOGOLLON"/>
    <x v="0"/>
    <x v="0"/>
    <n v="973210878"/>
    <s v="30 GB"/>
    <s v="ZTE"/>
    <s v="MF920U MODEM BLANCO"/>
    <n v="862698067560480"/>
    <n v="320135829840"/>
    <d v="2023-12-15T00:00:00"/>
    <s v="CLARO"/>
    <s v="-"/>
  </r>
  <r>
    <n v="5"/>
    <s v="JORGE VILA"/>
    <x v="0"/>
    <x v="0"/>
    <n v="953200189"/>
    <s v="30 GB"/>
    <s v="ZTE"/>
    <s v="MF920U MODEM BLANCO"/>
    <n v="862698066796523"/>
    <n v="320235519160"/>
    <d v="2023-12-15T00:00:00"/>
    <s v="CLARO"/>
    <s v="-"/>
  </r>
  <r>
    <n v="6"/>
    <s v="KATIA REYNA"/>
    <x v="0"/>
    <x v="0"/>
    <n v="960140875"/>
    <s v="30 GB"/>
    <s v="ZTE"/>
    <s v="MF920U MODEM BLANCO"/>
    <n v="862698066279124"/>
    <n v="320135149905"/>
    <d v="2024-01-11T00:00:00"/>
    <s v="CLARO"/>
    <s v="-"/>
  </r>
  <r>
    <n v="7"/>
    <s v="PAMELA SAAVEDRA"/>
    <x v="0"/>
    <x v="0"/>
    <n v="960585970"/>
    <s v="30 GB"/>
    <s v="ZTE"/>
    <s v="MF920U MODEM BLANCO"/>
    <n v="862698067560472"/>
    <n v="320135829839"/>
    <d v="2024-01-11T00:00:00"/>
    <s v="CLARO"/>
    <s v="-"/>
  </r>
  <r>
    <n v="8"/>
    <s v="SISSY REVOLLEDO"/>
    <x v="0"/>
    <x v="0"/>
    <n v="956326171"/>
    <s v="30 GB"/>
    <s v="ZTE"/>
    <s v="MF920U MODEM BLANCO"/>
    <n v="862698067546331"/>
    <n v="320135828425"/>
    <d v="2024-01-11T00:00:00"/>
    <s v="CLARO"/>
    <s v="-"/>
  </r>
  <r>
    <n v="9"/>
    <s v="YENNY MARIN"/>
    <x v="0"/>
    <x v="0"/>
    <n v="973210925"/>
    <s v="30 GB"/>
    <s v="ZTE"/>
    <s v="MF920U MODEM BLANCO"/>
    <n v="862698066788116"/>
    <n v="320235518319"/>
    <d v="2024-01-11T00:00:00"/>
    <s v="CLARO"/>
    <s v="-"/>
  </r>
  <r>
    <n v="10"/>
    <s v="SUSSAN HUAPAYA"/>
    <x v="0"/>
    <x v="1"/>
    <n v="981110189"/>
    <s v="60 GB"/>
    <s v="ZTE"/>
    <s v="MF937 MODEM BLANCO"/>
    <n v="863026070978540"/>
    <n v="324451910082"/>
    <d v="2026-01-22T00:00:00"/>
    <s v="ENTEL"/>
    <s v="-"/>
  </r>
  <r>
    <n v="11"/>
    <s v="SUSSAN OBREGON"/>
    <x v="0"/>
    <x v="1"/>
    <n v="923701174"/>
    <s v="60 GB"/>
    <s v="ZTE"/>
    <s v="MF937MODEM BLANCO"/>
    <n v="863026070981833"/>
    <n v="324451910411"/>
    <d v="2026-01-22T00:00:00"/>
    <s v="ENTEL"/>
    <s v="-"/>
  </r>
  <r>
    <n v="12"/>
    <s v="MAYERLIN BARRERA"/>
    <x v="0"/>
    <x v="1"/>
    <n v="972143609"/>
    <s v="60 GB"/>
    <s v="ZTE"/>
    <s v="MF937MODEM BLANCO"/>
    <n v="863026070981262"/>
    <n v="324451910354"/>
    <d v="2026-01-22T00:00:00"/>
    <s v="ENTEL"/>
    <s v="-"/>
  </r>
  <r>
    <n v="13"/>
    <s v="JULIO ULLOA"/>
    <x v="0"/>
    <x v="1"/>
    <n v="923069891"/>
    <s v="60 GB"/>
    <s v="ZTE"/>
    <s v="MF937MODEM BLANCO"/>
    <n v="863026070981171"/>
    <n v="324451910345"/>
    <d v="2026-01-22T00:00:00"/>
    <s v="ENTEL"/>
    <s v="-"/>
  </r>
  <r>
    <n v="14"/>
    <s v="RICARDO INFANTES"/>
    <x v="0"/>
    <x v="1"/>
    <n v="902070591"/>
    <s v="60 GB"/>
    <s v="ZTE"/>
    <s v="MF937MODEM BLANCO"/>
    <n v="863026070981460"/>
    <n v="324451910374"/>
    <d v="2026-01-22T00:00:00"/>
    <s v="ENTEL"/>
    <s v="-"/>
  </r>
  <r>
    <n v="15"/>
    <s v="SAMUEL SOTO"/>
    <x v="0"/>
    <x v="1"/>
    <n v="926732564"/>
    <s v="60 GB"/>
    <s v="ZTE"/>
    <s v="MF937MODEM BLANCO"/>
    <n v="863026070978516"/>
    <n v="324451910079"/>
    <d v="2026-01-22T00:00:00"/>
    <s v="ENTEL"/>
    <s v="-"/>
  </r>
  <r>
    <n v="16"/>
    <s v="EDGAR ALBARRAN"/>
    <x v="0"/>
    <x v="1"/>
    <n v="972163327"/>
    <s v="60 GB"/>
    <s v="ZTE"/>
    <s v="MF937MODEM BLANCO"/>
    <n v="863026070982252"/>
    <n v="324451910453"/>
    <d v="2026-01-22T00:00:00"/>
    <s v="ENTEL"/>
    <s v="-"/>
  </r>
  <r>
    <n v="17"/>
    <s v="LUIS NEYRA"/>
    <x v="0"/>
    <x v="1"/>
    <n v="923819978"/>
    <s v="60 GB"/>
    <s v="ZTE"/>
    <s v="MF937MODEM BLANCO"/>
    <n v="863026070978342"/>
    <n v="324451910062"/>
    <d v="2026-01-22T00:00:00"/>
    <s v="ENTEL"/>
    <s v="-"/>
  </r>
  <r>
    <n v="18"/>
    <s v="ANDRES CACHIMA (TI)"/>
    <x v="0"/>
    <x v="1"/>
    <n v="924600443"/>
    <s v="60 GB"/>
    <s v="ZTE"/>
    <s v="MF937MODEM BLANCO"/>
    <n v="863026070980496"/>
    <n v="324451910277"/>
    <d v="2026-01-22T00:00:00"/>
    <s v="ENTEL"/>
    <s v="-"/>
  </r>
  <r>
    <n v="19"/>
    <s v="COMERCIAL"/>
    <x v="1"/>
    <x v="1"/>
    <s v="-"/>
    <s v="-"/>
    <s v="HUAWEI"/>
    <s v="B612-533 ROUTER"/>
    <n v="861710040969695"/>
    <s v="CSD7S20331000789"/>
    <d v="2020-07-31T00:00:00"/>
    <s v="-"/>
    <s v="-"/>
  </r>
  <r>
    <n v="20"/>
    <s v="COMERCIAL"/>
    <x v="1"/>
    <x v="1"/>
    <n v="871204300"/>
    <s v="270 GB"/>
    <s v="TPLINK"/>
    <s v="ARCHER MR400 (APAC)"/>
    <n v="358890860076803"/>
    <s v="225303D001780"/>
    <d v="2026-08-01T00:00:00"/>
    <s v="CLARO"/>
    <s v="-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1"/>
    <s v="-"/>
    <s v="ALEJANDRA QUEZADA"/>
    <x v="0"/>
    <x v="0"/>
    <s v="LG"/>
    <s v="22MK400H"/>
    <s v="908NTJJ8B156"/>
  </r>
  <r>
    <n v="3"/>
    <s v="-"/>
    <s v="ANAIS ALBURQUEQUE"/>
    <x v="0"/>
    <x v="1"/>
    <s v="LG"/>
    <s v="24MK430H"/>
    <s v="901NTAB3F048"/>
  </r>
  <r>
    <n v="4"/>
    <s v="-"/>
    <s v="ANDRES ARISPE"/>
    <x v="0"/>
    <x v="2"/>
    <s v="SAMSUNG"/>
    <s v="LC24F390FHLXPE"/>
    <s v="BZT0H4ZT800092Z"/>
  </r>
  <r>
    <n v="5"/>
    <s v="-"/>
    <s v="ANSELMO SORIA"/>
    <x v="0"/>
    <x v="3"/>
    <s v="DELL"/>
    <s v="P2014H"/>
    <s v="0J6HTF"/>
  </r>
  <r>
    <n v="6"/>
    <s v="-"/>
    <s v="CHRISTIAN RAMIREZ"/>
    <x v="0"/>
    <x v="4"/>
    <s v="LENOVO THINKVISION"/>
    <s v="T23i-30"/>
    <s v="V90D90B7"/>
  </r>
  <r>
    <n v="7"/>
    <s v="-"/>
    <s v="CRISTHIAN AREVALO"/>
    <x v="0"/>
    <x v="5"/>
    <s v="SAMSUNG"/>
    <s v="LS27CG552ELXPE"/>
    <s v="0TLEHNAX900276D"/>
  </r>
  <r>
    <n v="8"/>
    <s v="-"/>
    <s v="DANNEL SERQUEN"/>
    <x v="0"/>
    <x v="3"/>
    <s v="LG"/>
    <s v="FLATRON E2351VR-BN"/>
    <s v="209NDHBGW361"/>
  </r>
  <r>
    <n v="2"/>
    <s v="-"/>
    <s v="DATA CENTER"/>
    <x v="0"/>
    <x v="4"/>
    <s v="HP"/>
    <s v="HP V190"/>
    <s v="1CR8120PY5"/>
  </r>
  <r>
    <n v="9"/>
    <s v="-"/>
    <s v="DIANA HERNANDEZ"/>
    <x v="0"/>
    <x v="6"/>
    <s v="SAMSUNG"/>
    <s v="LS34J550WQLXPE"/>
    <s v="CX29H4ZNB00030H"/>
  </r>
  <r>
    <n v="10"/>
    <s v="-"/>
    <s v="ELIANA MARTINEZ"/>
    <x v="0"/>
    <x v="0"/>
    <s v="SAMSUNG"/>
    <s v="LS19A330NHLXPE"/>
    <s v="4KX7H4TW200057P"/>
  </r>
  <r>
    <n v="11"/>
    <s v="-"/>
    <s v="FELIX YACTAYO"/>
    <x v="0"/>
    <x v="3"/>
    <s v="AOC"/>
    <s v="230LM00013"/>
    <s v="DAJB9JA001717"/>
  </r>
  <r>
    <n v="12"/>
    <s v="-"/>
    <s v="FRANCISCO OTERO"/>
    <x v="0"/>
    <x v="7"/>
    <s v="LG"/>
    <s v="34WQ75C"/>
    <s v="403NTDVEU698"/>
  </r>
  <r>
    <n v="13"/>
    <s v="-"/>
    <s v="MARICARMEN PLASENCIA"/>
    <x v="0"/>
    <x v="4"/>
    <s v="LG"/>
    <s v="22MR410"/>
    <s v="412TOCD0C603"/>
  </r>
  <r>
    <n v="14"/>
    <s v="-"/>
    <s v="GIANELLA SOLLER"/>
    <x v="0"/>
    <x v="8"/>
    <s v="LG"/>
    <s v="19M38H"/>
    <s v="305NTEPEE612"/>
  </r>
  <r>
    <n v="15"/>
    <s v="-"/>
    <s v="GUINA BUSTOS"/>
    <x v="0"/>
    <x v="8"/>
    <s v="LG"/>
    <s v="22MR410"/>
    <s v="506TOWR0F753"/>
  </r>
  <r>
    <n v="16"/>
    <s v="-"/>
    <s v="JAVIER SUEMATZU"/>
    <x v="0"/>
    <x v="4"/>
    <s v="LG"/>
    <s v="19M38H"/>
    <s v="305NTNHEE999"/>
  </r>
  <r>
    <n v="17"/>
    <s v="-"/>
    <s v="LOURDES SAER"/>
    <x v="0"/>
    <x v="0"/>
    <s v="LG"/>
    <s v="24MS500"/>
    <s v="502NTZN2V309"/>
  </r>
  <r>
    <n v="18"/>
    <s v="-"/>
    <s v="MANUEL ZAVALETA"/>
    <x v="0"/>
    <x v="9"/>
    <s v="ACER"/>
    <s v="ED320QR"/>
    <s v="MMTJNAA001011024943W01"/>
  </r>
  <r>
    <n v="19"/>
    <s v="-"/>
    <s v="SIN USUARIO (MARICARMEN PLASENCIA)"/>
    <x v="0"/>
    <x v="0"/>
    <s v="SAMSUNG"/>
    <s v="LS22A33ANHLXPE"/>
    <s v="5JBCH4TT603194V"/>
  </r>
  <r>
    <n v="21"/>
    <s v="-"/>
    <s v="MAYRA SANTOS"/>
    <x v="0"/>
    <x v="0"/>
    <s v="LG"/>
    <s v="FLATRON 23EA63V-P"/>
    <s v="303NDXQ5C338"/>
  </r>
  <r>
    <n v="22"/>
    <s v="-"/>
    <s v="MILAGROS VALLE"/>
    <x v="0"/>
    <x v="0"/>
    <s v="LG"/>
    <s v="22MN430M"/>
    <s v="204NTTQAE857"/>
  </r>
  <r>
    <n v="23"/>
    <s v="-"/>
    <s v="PALMIRA GARCIA"/>
    <x v="0"/>
    <x v="6"/>
    <s v="LG"/>
    <s v="22MR410"/>
    <s v="501TOSY2C134"/>
  </r>
  <r>
    <n v="25"/>
    <s v="-"/>
    <s v="PAUL BRAVO"/>
    <x v="0"/>
    <x v="10"/>
    <s v="DELL"/>
    <s v="P2417H"/>
    <s v="4TFHTK2"/>
  </r>
  <r>
    <n v="26"/>
    <s v="-"/>
    <s v="RENZO NUREÑA"/>
    <x v="0"/>
    <x v="11"/>
    <s v="SAMSUNG"/>
    <s v="LS24D300HS/PE"/>
    <s v="ZZEBH4LH400181J"/>
  </r>
  <r>
    <n v="27"/>
    <s v="-"/>
    <s v="RICHARD SALAZAR"/>
    <x v="0"/>
    <x v="12"/>
    <s v="LG"/>
    <s v="22MN430M"/>
    <s v="301NTHMCF873"/>
  </r>
  <r>
    <n v="28"/>
    <s v="-"/>
    <s v="ROSARIO CARBAJAL"/>
    <x v="0"/>
    <x v="0"/>
    <s v="LG"/>
    <s v="FLATRON E2351VR-BN"/>
    <s v="208NDPHE5024"/>
  </r>
  <r>
    <n v="24"/>
    <s v="-"/>
    <s v="ROSSMARY PILLACA"/>
    <x v="0"/>
    <x v="6"/>
    <s v="LG"/>
    <s v="22MR410"/>
    <s v="506TONB27743"/>
  </r>
  <r>
    <n v="29"/>
    <s v="-"/>
    <s v="VIVIANA PINEDO"/>
    <x v="0"/>
    <x v="0"/>
    <s v="LG"/>
    <s v="22MN430M"/>
    <s v="301NTYTCF994"/>
  </r>
  <r>
    <n v="30"/>
    <s v="-"/>
    <s v="WALTER RUIZ"/>
    <x v="0"/>
    <x v="13"/>
    <s v="SAMSUNG"/>
    <s v="LS34J550WQLXPE"/>
    <s v="CX29H4ZNB00024F"/>
  </r>
  <r>
    <n v="32"/>
    <s v="-"/>
    <s v="WILLIAM MARTINEZ"/>
    <x v="0"/>
    <x v="14"/>
    <s v="DELL"/>
    <s v="E1916H"/>
    <s v="27LR6D2"/>
  </r>
  <r>
    <n v="31"/>
    <s v="-"/>
    <s v="SIN USUARIO"/>
    <x v="0"/>
    <x v="3"/>
    <s v="LG"/>
    <s v="24MQ400-B"/>
    <s v="302NTGY5082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x v="0"/>
    <s v="LASERT JET M203DW"/>
    <s v="BRBSL1X5JD"/>
    <s v="GERENCIA GENERAL"/>
    <s v="-"/>
    <x v="0"/>
    <s v="-"/>
  </r>
  <r>
    <x v="0"/>
    <x v="0"/>
    <s v="COLOR LASERT JET PRO MFP M477FDW"/>
    <s v="VNB8J9M96M"/>
    <s v="RRHH"/>
    <s v="-"/>
    <x v="0"/>
    <s v="-"/>
  </r>
  <r>
    <x v="0"/>
    <x v="1"/>
    <s v="FX 890II"/>
    <s v="X3YF033458"/>
    <s v="COBRANZAS "/>
    <s v="-"/>
    <x v="1"/>
    <s v="-"/>
  </r>
  <r>
    <x v="0"/>
    <x v="1"/>
    <s v="FX 890II"/>
    <s v="X3YF032542"/>
    <s v="COBRANZAS "/>
    <s v="-"/>
    <x v="0"/>
    <s v="BACKUP"/>
  </r>
  <r>
    <x v="0"/>
    <x v="1"/>
    <s v="FX 890II"/>
    <s v="X3YF092677"/>
    <s v="COBRANZAS "/>
    <s v="-"/>
    <x v="2"/>
    <s v="-"/>
  </r>
  <r>
    <x v="0"/>
    <x v="2"/>
    <s v="IM 430"/>
    <s v="3355P750220"/>
    <s v="OFICINA SAN ISIDRO"/>
    <s v="192.168.14.30"/>
    <x v="0"/>
    <s v="-"/>
  </r>
  <r>
    <x v="0"/>
    <x v="2"/>
    <s v="IM 430"/>
    <s v="3355P750224"/>
    <s v="CENTRO DE DISTRIBUCIÓN PUNTA HERMOSA "/>
    <s v="192.168.17.103"/>
    <x v="3"/>
    <s v="-"/>
  </r>
  <r>
    <x v="0"/>
    <x v="2"/>
    <s v="IM 5000"/>
    <s v="4454R720006"/>
    <s v="CENTRO DE DISTRIBUCIÓN PUNTA HERMOSA"/>
    <s v="192.168.17.11"/>
    <x v="3"/>
    <s v="-"/>
  </r>
  <r>
    <x v="0"/>
    <x v="1"/>
    <s v="FX-890 II"/>
    <s v="X3YF046991"/>
    <s v="CENTRO DE DISTRIBUCIÓN PUNTA HERMOSA"/>
    <s v="-"/>
    <x v="3"/>
    <s v="-"/>
  </r>
  <r>
    <x v="0"/>
    <x v="3"/>
    <s v="ZT 411 (IMP 01)"/>
    <s v="99J213104353"/>
    <s v="CENTRO DE DISTRIBUCIÓN PUNTA HERMOSA (MESON 1)"/>
    <s v="192.168.17.30"/>
    <x v="3"/>
    <s v="-"/>
  </r>
  <r>
    <x v="0"/>
    <x v="3"/>
    <s v="ZT 410 (IMP 02)"/>
    <s v="18J156103359"/>
    <s v="CENTRO DE DISTRIBUCIÓN PUNTA HERMOSA (MESON 2)"/>
    <s v="192.168.17.31"/>
    <x v="3"/>
    <s v="-"/>
  </r>
  <r>
    <x v="0"/>
    <x v="3"/>
    <s v="ZT 411 (IMP 10)"/>
    <s v="99J241201500"/>
    <s v="CENTRO DE DISTRIBUCIÓN PUNTA HERMOSA (MESON 3)"/>
    <s v="192.168.17.107"/>
    <x v="3"/>
    <s v="-"/>
  </r>
  <r>
    <x v="0"/>
    <x v="3"/>
    <s v="ZT 410 (IMP 03)"/>
    <s v="18J164002436"/>
    <s v="CENTRO DE DISTRIBUCIÓN PUNTA HERMOSA (MESON 4)"/>
    <s v="192.168.17.32"/>
    <x v="3"/>
    <s v="-"/>
  </r>
  <r>
    <x v="0"/>
    <x v="3"/>
    <s v="ZT 411 (IMP 04)"/>
    <s v="99J203901580"/>
    <s v="CENTRO DE DISTRIBUCIÓN PUNTA HERMOSA (MESON 5)"/>
    <s v="192.168.17.33"/>
    <x v="3"/>
    <s v="-"/>
  </r>
  <r>
    <x v="0"/>
    <x v="3"/>
    <s v="ZT 410 (IMP 05)"/>
    <s v="18J170802640"/>
    <s v="CENTRO DE DISTRIBUCIÓN PUNTA HERMOSA (MESON 6)"/>
    <s v="192.168.17.34"/>
    <x v="3"/>
    <s v="-"/>
  </r>
  <r>
    <x v="0"/>
    <x v="3"/>
    <s v="ZT 411 (IMP 06)"/>
    <s v="99J213104462"/>
    <s v="CENTRO DE DISTRIBUCIÓN PUNTA HERMOSA (MESON 7)"/>
    <s v="192.168.17.35"/>
    <x v="3"/>
    <s v="-"/>
  </r>
  <r>
    <x v="0"/>
    <x v="3"/>
    <s v="ZT 411 (IMP 07)"/>
    <s v="99J213104467"/>
    <s v="CENTRO DE DISTRIBUCIÓN PUNTA HERMOSA (MESON 8)"/>
    <s v="192.168.17.37"/>
    <x v="3"/>
    <s v="-"/>
  </r>
  <r>
    <x v="0"/>
    <x v="3"/>
    <s v="ZT 411 (IMP 08)"/>
    <s v="99J213104461"/>
    <s v="CENTRO DE DISTRIBUCIÓN PUNTA HERMOSA (MESON 9)"/>
    <s v="192.168.17.38"/>
    <x v="3"/>
    <s v="-"/>
  </r>
  <r>
    <x v="0"/>
    <x v="3"/>
    <s v="ZT 411 (IMP 09)"/>
    <s v="99J241201498"/>
    <s v="CENTRO DE DISTRIBUCIÓN PUNTA HERMOSA (MESON 10)"/>
    <s v="192.168.17.105"/>
    <x v="3"/>
    <s v="-"/>
  </r>
  <r>
    <x v="0"/>
    <x v="3"/>
    <s v="ZT 411 (IMP 10)"/>
    <s v="99J241201473"/>
    <s v="CENTRO DE DISTRIBUCIÓN PUNTA HERMOSA (MESON 11) - LOTE 05"/>
    <s v="192.168.17.106"/>
    <x v="3"/>
    <s v="-"/>
  </r>
  <r>
    <x v="0"/>
    <x v="0"/>
    <s v="LASERT JET Pro MFP M426fdw"/>
    <s v="BRBSJ8H847"/>
    <s v="CENTRO DE DISTRIBUCIÓN PUNTA HERMOSA "/>
    <s v="-"/>
    <x v="3"/>
    <s v="-"/>
  </r>
  <r>
    <x v="0"/>
    <x v="3"/>
    <s v="ZT 411 "/>
    <s v="99N252701399"/>
    <s v="CENTRO DE DISTRIBUCIÓN PUNTA HERMOSA"/>
    <s v="-"/>
    <x v="3"/>
    <s v="-"/>
  </r>
  <r>
    <x v="1"/>
    <x v="4"/>
    <s v="ESL-3000AI"/>
    <s v="P437-OC022"/>
    <s v="CENTRO DE DISTRIBUCIÓN PUNTA HERMOSA "/>
    <s v="-"/>
    <x v="3"/>
    <s v="IM5000"/>
  </r>
  <r>
    <x v="1"/>
    <x v="4"/>
    <s v="ESL-3000AI"/>
    <s v="P436-OC22"/>
    <s v="CENTRO DE DISTRIBUCIÓN PUNTA HERMOSA"/>
    <s v="-"/>
    <x v="3"/>
    <s v="IM430"/>
  </r>
  <r>
    <x v="1"/>
    <x v="4"/>
    <s v="ESL-2000AI"/>
    <s v="ESL-2000AI"/>
    <s v="SAN ISIDRO"/>
    <s v="-"/>
    <x v="0"/>
    <s v="IM430"/>
  </r>
  <r>
    <x v="0"/>
    <x v="1"/>
    <s v="ECOTANK L6370"/>
    <s v="XDPY039486"/>
    <s v="CENTRO DE DISTRIBUCIÓN PUNTA HERMOSA"/>
    <s v="-"/>
    <x v="3"/>
    <s v="-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">
  <r>
    <n v="1"/>
    <s v="3227111-001"/>
    <x v="0"/>
    <s v="-"/>
    <x v="0"/>
    <x v="0"/>
    <s v="LP-AQUEZADA"/>
    <s v="HP"/>
    <s v="240 G6"/>
    <s v="5CD8226VK5"/>
    <s v="I3"/>
    <s v="7020U "/>
    <s v="2.30 GHz"/>
    <n v="8"/>
    <s v="1 TB SSD"/>
    <s v="14&quot;"/>
    <s v="W11 PRO"/>
    <s v="MICROSOFT 365 EMPRESA ESTÁNDAR"/>
    <s v="HSTNN-LA40"/>
    <s v="WFTLC0A1RA3HHT"/>
    <d v="2019-05-28T00:00:00"/>
    <d v="2025-09-02T00:00:00"/>
    <x v="0"/>
  </r>
  <r>
    <n v="2"/>
    <s v="-"/>
    <x v="0"/>
    <s v="-"/>
    <x v="1"/>
    <x v="0"/>
    <s v="PC-AQUEZADA"/>
    <s v="HP"/>
    <s v="PRODESK 400 G9 SFF"/>
    <s v="4CE229BYVC"/>
    <s v="I5"/>
    <n v="12500"/>
    <s v="3.00 GHz"/>
    <n v="16"/>
    <s v="512 SSD"/>
    <s v="-"/>
    <s v="W11 PRO"/>
    <s v="MICROSOFT 365 EMPRESA ESTÁNDAR"/>
    <s v="-"/>
    <s v="-"/>
    <s v="-"/>
    <d v="2025-09-02T00:00:00"/>
    <x v="1"/>
  </r>
  <r>
    <n v="3"/>
    <s v="3361111-114"/>
    <x v="1"/>
    <s v="-"/>
    <x v="0"/>
    <x v="1"/>
    <s v="LP-ACHALLCO"/>
    <s v="LENOVO"/>
    <s v="THINKPAD E15"/>
    <s v="PF2M9G54"/>
    <s v="I7"/>
    <s v="10510U"/>
    <m/>
    <n v="16"/>
    <s v="1 TB SSD"/>
    <s v="15.6&quot;"/>
    <s v="W11 PRO"/>
    <s v="MICROSOFT 365 EMPRESA ESTÁNDAR"/>
    <s v="ADLX65YCC2D"/>
    <s v="8SSA10R16875C1SG116RHJP"/>
    <d v="2021-08-05T00:00:00"/>
    <d v="2026-03-02T00:00:00"/>
    <x v="2"/>
  </r>
  <r>
    <n v="4"/>
    <s v="3361111-130"/>
    <x v="2"/>
    <s v="-"/>
    <x v="0"/>
    <x v="2"/>
    <s v="LP-ALLUEN"/>
    <s v="LENOVO"/>
    <s v="THINKPAD T15 GEN 2"/>
    <s v="PF38WFVF"/>
    <s v="I7"/>
    <s v="1165G7"/>
    <m/>
    <n v="48"/>
    <s v="512 SSD"/>
    <s v="15.6&quot;"/>
    <s v="W11 PRO"/>
    <s v="MICROSOFT 365 EMPRESA ESTÁNDAR"/>
    <s v="ADLX65YLC2D"/>
    <s v="8SSA10R16920L1CZ21T060E"/>
    <d v="2022-01-18T00:00:00"/>
    <d v="2025-10-10T00:00:00"/>
    <x v="3"/>
  </r>
  <r>
    <n v="5"/>
    <s v="3361111-160"/>
    <x v="3"/>
    <s v="-"/>
    <x v="0"/>
    <x v="2"/>
    <s v="LP-ACUBAS"/>
    <s v="LENOVO"/>
    <s v="THINKPAD E15 GEN 2"/>
    <s v="PF3X8B7E"/>
    <s v="I5"/>
    <s v="1135G7 "/>
    <m/>
    <n v="32"/>
    <s v="512 SSD"/>
    <s v="15.6&quot;"/>
    <s v="W11 PRO"/>
    <s v="MICROSOFT 365 EMPRESA ESTÁNDAR"/>
    <s v="ADLX65YCC2D"/>
    <s v="8SSA10R16922C2TJ24D06FG"/>
    <d v="2022-10-17T00:00:00"/>
    <d v="2026-03-11T00:00:00"/>
    <x v="4"/>
  </r>
  <r>
    <n v="6"/>
    <s v="3361111-226"/>
    <x v="4"/>
    <s v="-"/>
    <x v="0"/>
    <x v="3"/>
    <s v="LP-AMALCA"/>
    <s v="HP"/>
    <s v="240 G10"/>
    <s v="5CG4194N9Q"/>
    <s v="I7"/>
    <s v="1355U "/>
    <m/>
    <n v="16"/>
    <s v="512 SSD"/>
    <s v="14&quot;"/>
    <s v="W11 PRO"/>
    <s v="MICROSOFT 365 EMPRESA BÁSICO"/>
    <s v="TPN-DA16"/>
    <s v="WHHWK0CDDJA9OX"/>
    <d v="2024-10-15T00:00:00"/>
    <d v="2024-10-14T00:00:00"/>
    <x v="5"/>
  </r>
  <r>
    <n v="171"/>
    <s v="3361111-291"/>
    <x v="5"/>
    <s v="-"/>
    <x v="0"/>
    <x v="4"/>
    <s v="LP-AALBURQUEQUE"/>
    <s v="LENOVO"/>
    <s v="THINKPAD T16 GEN 4"/>
    <s v="PF62YHBM"/>
    <s v="ULTRA 7"/>
    <s v="255U"/>
    <s v="-"/>
    <n v="16"/>
    <s v="1 TB SSD"/>
    <s v="16&quot;"/>
    <s v="W11 PRO"/>
    <s v="MICROSOFT 365 EMPRESA ESTÁNDAR"/>
    <s v="ADL100YLC3A"/>
    <s v="8SGX21J75543L1CZ5861PFS"/>
    <s v="22/04/2026"/>
    <s v="27/04/26"/>
    <x v="1"/>
  </r>
  <r>
    <n v="8"/>
    <s v="3361111-086"/>
    <x v="6"/>
    <s v="-"/>
    <x v="0"/>
    <x v="1"/>
    <s v="LP-CDAUDITORIA"/>
    <s v="HP"/>
    <s v="PROBOOK 450 G5"/>
    <s v="5CD9232TZ7"/>
    <s v="I7"/>
    <s v="8550U"/>
    <m/>
    <n v="16"/>
    <s v="512 SSD"/>
    <s v="15.6&quot;"/>
    <s v="W11 PRO"/>
    <s v="MICROSOFT 365 EMPRESA ESTÁNDAR"/>
    <s v="HTSNN-CA40"/>
    <s v="-"/>
    <d v="2019-07-30T00:00:00"/>
    <d v="2026-03-10T00:00:00"/>
    <x v="6"/>
  </r>
  <r>
    <n v="9"/>
    <s v="3361111-261"/>
    <x v="7"/>
    <s v="-"/>
    <x v="0"/>
    <x v="5"/>
    <s v="LP-AYATACO"/>
    <s v="HP"/>
    <s v="PROBOOK 460 G11"/>
    <s v="1H84460LFG"/>
    <s v="ULTRA 7"/>
    <s v="155U"/>
    <m/>
    <n v="16"/>
    <s v="1 TB SSD"/>
    <s v="16&quot;"/>
    <s v="W11 PRO"/>
    <s v="MICROSOFT 365 EMPRESA ESTÁNDAR"/>
    <s v="TPN-LA19"/>
    <s v="WHRRF0A1RJ8THZ"/>
    <d v="2025-03-10T00:00:00"/>
    <d v="2025-03-19T00:00:00"/>
    <x v="7"/>
  </r>
  <r>
    <n v="10"/>
    <s v="3361111-267"/>
    <x v="8"/>
    <s v="-"/>
    <x v="0"/>
    <x v="6"/>
    <s v="LP-AARISPE"/>
    <s v="HP"/>
    <s v="PROBOOK 440 G11"/>
    <s v="5CD5016RSF"/>
    <s v="ULTRA 7"/>
    <s v="155U"/>
    <m/>
    <n v="16"/>
    <s v="1 TB SSD"/>
    <s v="14&quot;"/>
    <s v="W11 PRO"/>
    <s v="MICROSOFT 365 EMPRESA ESTÁNDAR"/>
    <s v="TPN-LA19"/>
    <s v="WHRRF0A7YK9H18"/>
    <d v="2025-04-07T00:00:00"/>
    <d v="2025-04-09T00:00:00"/>
    <x v="7"/>
  </r>
  <r>
    <n v="11"/>
    <s v="3361111-215"/>
    <x v="9"/>
    <s v="-"/>
    <x v="0"/>
    <x v="7"/>
    <s v="LP-ASOTERO"/>
    <s v="HP"/>
    <s v="PROBOOK 440 G10"/>
    <s v="5CD4075FNT"/>
    <s v="I7"/>
    <s v="1335U"/>
    <m/>
    <n v="32"/>
    <s v="512 SSD"/>
    <s v="14&quot;"/>
    <s v="W11 PRO"/>
    <s v="MICROSOFT 365 EMPRESA ESTÁNDAR"/>
    <s v="TPN-CA14"/>
    <s v="WHGRE0EV2ISMQK0E"/>
    <d v="2024-06-01T00:00:00"/>
    <m/>
    <x v="8"/>
  </r>
  <r>
    <n v="12"/>
    <s v="3361111-149"/>
    <x v="10"/>
    <s v="-"/>
    <x v="0"/>
    <x v="8"/>
    <s v="LP-ASORIA"/>
    <s v="HP"/>
    <s v="PROBOOK 440 G8"/>
    <s v="5CD208604S"/>
    <s v="I7"/>
    <s v="1165G7"/>
    <m/>
    <n v="32"/>
    <s v="512 SSD"/>
    <s v="14&quot;"/>
    <s v="W11 PRO"/>
    <s v="MICROSOFT 365 EMPRESA ESTÁNDAR"/>
    <s v="TPN-DA16"/>
    <s v="WHHWK0CM1G67JW"/>
    <d v="2022-06-06T00:00:00"/>
    <d v="2025-05-16T00:00:00"/>
    <x v="9"/>
  </r>
  <r>
    <n v="13"/>
    <s v="3361111-126"/>
    <x v="11"/>
    <s v="-"/>
    <x v="0"/>
    <x v="1"/>
    <s v="LP-ESCANEADOREFAX"/>
    <s v="HP"/>
    <s v="250 G8"/>
    <s v="CND1293GSY"/>
    <s v="I5"/>
    <s v="1035G1 "/>
    <m/>
    <n v="16"/>
    <s v="512 SSD"/>
    <s v="15.6&quot;"/>
    <s v="W11 PRO"/>
    <s v="MICROSOFT 365 EMPRESA ESTÁNDAR"/>
    <s v="TPN-LA16"/>
    <s v="WHHRF0A3UEJ8SA"/>
    <d v="2021-12-30T00:00:00"/>
    <d v="2026-03-17T00:00:00"/>
    <x v="10"/>
  </r>
  <r>
    <n v="14"/>
    <s v="3361111-240"/>
    <x v="12"/>
    <s v="-"/>
    <x v="0"/>
    <x v="9"/>
    <s v="LP-AVARGAS"/>
    <s v="HP"/>
    <s v="250 G10"/>
    <s v="1H84180KJZ"/>
    <s v="I7"/>
    <s v="1355U "/>
    <m/>
    <n v="32"/>
    <s v="512 SSD"/>
    <s v="15.6&quot;"/>
    <s v="W11 PRO"/>
    <s v="MICROSOFT 365 EMPRESA ESTÁNDAR"/>
    <s v="TPN-DA16"/>
    <s v="WHHWK0CM1J88FU"/>
    <d v="2025-01-02T00:00:00"/>
    <d v="2025-02-05T00:00:00"/>
    <x v="11"/>
  </r>
  <r>
    <n v="15"/>
    <s v="-"/>
    <x v="13"/>
    <s v="-"/>
    <x v="1"/>
    <x v="10"/>
    <s v="PC-B2B1"/>
    <s v="LENOVO"/>
    <s v="THINKCENTRE M710S 10M8"/>
    <s v="MJ05PGW2"/>
    <s v="I5"/>
    <n v="6500"/>
    <m/>
    <n v="8"/>
    <s v="500 SSD"/>
    <s v="-"/>
    <s v="W11 PRO"/>
    <s v="-"/>
    <s v="-"/>
    <s v="-"/>
    <s v="-"/>
    <s v="-"/>
    <x v="1"/>
  </r>
  <r>
    <n v="16"/>
    <s v="-"/>
    <x v="13"/>
    <s v="-"/>
    <x v="1"/>
    <x v="10"/>
    <s v="PC-B2B2"/>
    <s v="LENOVO"/>
    <s v="THINKCENTRE M710S 10M8"/>
    <s v="MJ05PGW6"/>
    <s v="I5"/>
    <n v="6500"/>
    <m/>
    <n v="8"/>
    <s v="500 SSD"/>
    <s v="-"/>
    <s v="W11 PRO"/>
    <s v="-"/>
    <s v="-"/>
    <s v="-"/>
    <s v="-"/>
    <s v="-"/>
    <x v="1"/>
  </r>
  <r>
    <n v="153"/>
    <s v="3361111-126"/>
    <x v="14"/>
    <s v="-"/>
    <x v="0"/>
    <x v="1"/>
    <s v="LP-PRUEBASTIPH"/>
    <s v="HP"/>
    <s v="250 G8"/>
    <s v="CND1293GJX"/>
    <s v="I5"/>
    <s v="1035G1 "/>
    <m/>
    <n v="16"/>
    <s v="512 SSD"/>
    <s v="15.6&quot;"/>
    <s v="W10 PRO"/>
    <s v="-"/>
    <s v="TPN-LA16"/>
    <s v="WHHRF0A4LEP01H"/>
    <d v="2021-12-30T00:00:00"/>
    <d v="2025-06-12T00:00:00"/>
    <x v="10"/>
  </r>
  <r>
    <n v="154"/>
    <s v="3361111-092"/>
    <x v="14"/>
    <s v="-"/>
    <x v="0"/>
    <x v="1"/>
    <s v="BK_BSF2"/>
    <s v="DELL"/>
    <s v="LATITUDE 3500"/>
    <s v="C8RDVZ2"/>
    <s v="I7"/>
    <s v="8565U"/>
    <m/>
    <n v="16"/>
    <s v="1 TB SSD"/>
    <s v="15.6&quot;"/>
    <s v="W11 PRO"/>
    <s v="MICROSOFT 365 EMPRESA ESTÁNDAR"/>
    <s v="LA65NM130"/>
    <s v="CN-0M1WCF-CH200-UCM-BPFY-A01W-FW:V03"/>
    <d v="2020-07-31T00:00:00"/>
    <d v="2025-01-06T00:00:00"/>
    <x v="12"/>
  </r>
  <r>
    <n v="155"/>
    <s v="3361111-050"/>
    <x v="14"/>
    <s v="-"/>
    <x v="0"/>
    <x v="1"/>
    <s v="BK_BSF3"/>
    <s v="LENOVO"/>
    <s v="THINKPAD E570"/>
    <s v="PF0G8L2K"/>
    <s v="I7"/>
    <s v="7500U"/>
    <m/>
    <n v="8"/>
    <s v="512 SSD"/>
    <s v="15.6&quot;"/>
    <s v="W11 PRO"/>
    <s v="-"/>
    <s v="ADLX65NCC3A"/>
    <s v="-"/>
    <d v="2017-07-13T00:00:00"/>
    <d v="2025-03-04T00:00:00"/>
    <x v="13"/>
  </r>
  <r>
    <n v="156"/>
    <s v="3361111-057"/>
    <x v="14"/>
    <s v="-"/>
    <x v="0"/>
    <x v="9"/>
    <s v="LP-BACKUPBSF"/>
    <s v="LENOVO"/>
    <s v="V330-15IKB"/>
    <s v="R90SK22E"/>
    <s v="I5"/>
    <s v="8250U"/>
    <m/>
    <n v="12"/>
    <s v="512 SSD"/>
    <s v="15.6&quot;"/>
    <s v="W11 PRO"/>
    <s v="-"/>
    <s v="ADLX65NCT3A"/>
    <s v="11S36200292Z1Z1003JAVDF"/>
    <s v="-"/>
    <d v="2026-04-07T00:00:00"/>
    <x v="1"/>
  </r>
  <r>
    <n v="17"/>
    <s v="3361111-198"/>
    <x v="15"/>
    <s v="-"/>
    <x v="0"/>
    <x v="3"/>
    <s v="LP-CAGUIRRE"/>
    <s v="HP"/>
    <s v="240 G9"/>
    <s v="5CG31047SH"/>
    <s v="I5"/>
    <s v="1235U"/>
    <m/>
    <n v="8"/>
    <s v="512 SSD"/>
    <s v="14&quot;"/>
    <s v="W11 PRO"/>
    <s v="MICROSOFT 365 EMPRESA BÁSICO"/>
    <s v="TPN-CA14"/>
    <s v="WHGRE0CNJHLXLP"/>
    <d v="2023-12-01T00:00:00"/>
    <d v="2025-06-27T00:00:00"/>
    <x v="14"/>
  </r>
  <r>
    <n v="18"/>
    <s v="3361111-112"/>
    <x v="16"/>
    <s v="-"/>
    <x v="0"/>
    <x v="3"/>
    <s v="LP-CBARRANTES"/>
    <s v="HP"/>
    <s v="PROBOOK 440 G8"/>
    <s v="5CD116BLC6"/>
    <s v="I7"/>
    <s v="1165G7 "/>
    <m/>
    <n v="16"/>
    <s v="512 SSD"/>
    <s v="14&quot;"/>
    <s v="W11 PRO"/>
    <s v="MICROSOFT 365 EMPRESA ESTÁNDAR"/>
    <s v="HSTNN-LA40"/>
    <s v="WDUUV0B4L8JQT"/>
    <d v="2021-06-23T00:00:00"/>
    <d v="2024-08-28T00:00:00"/>
    <x v="15"/>
  </r>
  <r>
    <n v="19"/>
    <s v="3361111-181"/>
    <x v="17"/>
    <s v="-"/>
    <x v="0"/>
    <x v="3"/>
    <s v="LP-CSANDOVAL"/>
    <s v="HP"/>
    <s v="PROBOOK 440 G9"/>
    <s v="5CD319FWMD"/>
    <s v="I5"/>
    <s v="1235U "/>
    <m/>
    <n v="16"/>
    <s v="512 SSD"/>
    <s v="14&quot;"/>
    <s v="W11 PRO"/>
    <s v="MICROSOFT 365 EMPRESA ESTÁNDAR"/>
    <s v="TPN-DA16"/>
    <s v="WHHWK0CARHW5BT"/>
    <d v="2023-07-04T00:00:00"/>
    <d v="2025-11-17T00:00:00"/>
    <x v="16"/>
  </r>
  <r>
    <n v="20"/>
    <s v="3361111-129"/>
    <x v="18"/>
    <s v="-"/>
    <x v="0"/>
    <x v="10"/>
    <s v="LP-CPHILIPPS"/>
    <s v="HP"/>
    <s v="348 G7"/>
    <s v="5CG11701BC"/>
    <s v="I3"/>
    <s v="10110U"/>
    <m/>
    <n v="8"/>
    <s v="512 SSD"/>
    <s v="14&quot;"/>
    <s v="W11 PRO"/>
    <s v="MICROSOFT 365 EMPRESA ESTÁNDAR"/>
    <s v="TPN-CA16"/>
    <s v="WHGRH0CGCF02I90C"/>
    <d v="2022-01-29T00:00:00"/>
    <d v="2024-06-06T00:00:00"/>
    <x v="3"/>
  </r>
  <r>
    <n v="21"/>
    <s v="3361111-189"/>
    <x v="19"/>
    <s v="-"/>
    <x v="0"/>
    <x v="9"/>
    <s v="LP-CRAMIREZ"/>
    <s v="LENOVO"/>
    <s v="THINKPAD T16 GEN 2"/>
    <s v="PF3RSBRQ"/>
    <s v="I7"/>
    <s v="1355U "/>
    <m/>
    <n v="32"/>
    <s v="1 TB SSD"/>
    <s v="16&quot;"/>
    <s v="W11 PRO"/>
    <s v="MICROSOFT 365 EMPRESA ESTÁNDAR"/>
    <s v="ADLX65YSDC2A"/>
    <s v="8SSA10R16984D1SG37406BA"/>
    <d v="2023-11-27T00:00:00"/>
    <d v="2024-06-12T00:00:00"/>
    <x v="14"/>
  </r>
  <r>
    <n v="22"/>
    <s v="3361111-245"/>
    <x v="20"/>
    <s v="-"/>
    <x v="0"/>
    <x v="7"/>
    <s v="LP-CABREGU"/>
    <s v="HP"/>
    <s v="PROBOOK 440 G10"/>
    <s v="5CD4298SDD"/>
    <s v="I5"/>
    <s v="1335U"/>
    <m/>
    <n v="16"/>
    <s v="512 SSD"/>
    <s v="14&quot;"/>
    <s v="W11 PRO"/>
    <s v="MICROSOFT 365 EMPRESA BÁSICO"/>
    <s v="TPN-LA15"/>
    <s v="WHHRE0A4LJL6KX"/>
    <d v="2025-01-02T00:00:00"/>
    <d v="2025-04-29T00:00:00"/>
    <x v="11"/>
  </r>
  <r>
    <n v="23"/>
    <s v="3361111-174"/>
    <x v="21"/>
    <s v="-"/>
    <x v="0"/>
    <x v="3"/>
    <s v="LP-CCARRASCO"/>
    <s v="HP"/>
    <s v="14-DQ2510LA"/>
    <s v="5CD225BCDP"/>
    <s v="I3"/>
    <s v="1115G4"/>
    <m/>
    <n v="8"/>
    <s v="512 SSD"/>
    <s v="14&quot;"/>
    <s v="W11 PRO"/>
    <s v="MICROSOFT 365 EMPRESA BÁSICO"/>
    <s v="TPN-CA14"/>
    <s v="WHGRE0CGCGFC1R"/>
    <d v="2023-04-24T00:00:00"/>
    <d v="2023-04-27T00:00:00"/>
    <x v="17"/>
  </r>
  <r>
    <n v="24"/>
    <s v="3361111-236"/>
    <x v="22"/>
    <s v="-"/>
    <x v="0"/>
    <x v="11"/>
    <s v="LP-BI2"/>
    <s v="HP"/>
    <s v="PROBOOK 450 G10"/>
    <s v="5CD419CKSK"/>
    <s v="I7"/>
    <s v="1355U "/>
    <m/>
    <n v="32"/>
    <s v="1 TB SSD"/>
    <s v="15.6&quot;"/>
    <s v="W11 PRO"/>
    <s v="MICROSOFT 365 EMPRESA ESTÁNDAR"/>
    <s v="TPN-DA16"/>
    <s v="WHHWK0CCXJ9374"/>
    <d v="2024-11-08T00:00:00"/>
    <d v="2024-11-22T00:00:00"/>
    <x v="5"/>
  </r>
  <r>
    <n v="25"/>
    <s v="3361111-210"/>
    <x v="22"/>
    <s v="-"/>
    <x v="0"/>
    <x v="11"/>
    <s v="LP-CAREVALO"/>
    <s v="LENOVO"/>
    <s v="THINKPAD T16 GEN 2"/>
    <s v="PF4JMH2P"/>
    <s v="I7"/>
    <s v="1335U"/>
    <m/>
    <n v="32"/>
    <s v="1 TB SSD"/>
    <s v="16&quot;"/>
    <s v="W11 PRO"/>
    <s v="MICROSOFT 365 EMPRESA ESTÁNDAR"/>
    <s v="ADLX65YSLC2A"/>
    <s v="8SSA10R16985L1CZ34E052V"/>
    <d v="2023-12-23T00:00:00"/>
    <s v="-"/>
    <x v="18"/>
  </r>
  <r>
    <n v="26"/>
    <s v="3361111-196"/>
    <x v="23"/>
    <s v="-"/>
    <x v="0"/>
    <x v="3"/>
    <s v="LP-CRUIZ"/>
    <s v="HP"/>
    <s v="240 G9"/>
    <s v="5CG3104JML"/>
    <s v="I5"/>
    <s v="1235U "/>
    <m/>
    <n v="8"/>
    <s v="512 SSD"/>
    <s v="14&quot;"/>
    <s v="W11 PRO"/>
    <s v="MICROSOFT 365 EMPRESA BÁSICO"/>
    <s v="PPP0090"/>
    <s v="WCNXC0AAR3P1 IP"/>
    <d v="2023-12-01T00:00:00"/>
    <d v="2023-12-27T00:00:00"/>
    <x v="14"/>
  </r>
  <r>
    <n v="27"/>
    <s v="3361111-262"/>
    <x v="24"/>
    <s v="-"/>
    <x v="0"/>
    <x v="5"/>
    <s v="LP-CDIAZ"/>
    <s v="HP"/>
    <s v="PROBOOK 460 G11"/>
    <s v="1H84460L9G"/>
    <s v="ULTRA 7"/>
    <s v="155U"/>
    <m/>
    <n v="16"/>
    <s v="1 TB SSD"/>
    <s v="16&quot;"/>
    <s v="W11 PRO"/>
    <s v="MICROSOFT 365 EMPRESA ESTÁNDAR"/>
    <s v="TPN-LA19"/>
    <s v="WHRRF0A1RJ8N18"/>
    <d v="2025-03-10T00:00:00"/>
    <d v="2025-03-18T00:00:00"/>
    <x v="7"/>
  </r>
  <r>
    <n v="28"/>
    <s v="3361111-255"/>
    <x v="25"/>
    <s v="-"/>
    <x v="0"/>
    <x v="3"/>
    <s v="LP-DROJAS"/>
    <s v="HP"/>
    <s v="PROBOOK 440 G10"/>
    <s v="5CD4298SF2"/>
    <s v="I5"/>
    <s v="1335U"/>
    <m/>
    <n v="16"/>
    <s v="512 SSD"/>
    <s v="14&quot;"/>
    <s v="W11 PRO"/>
    <s v="MICROSOFT 365 EMPRESA BÁSICO"/>
    <s v="TPN-LA15"/>
    <s v="WHHRE0A4LJL6KA"/>
    <d v="2025-01-02T00:00:00"/>
    <d v="2025-01-29T00:00:00"/>
    <x v="11"/>
  </r>
  <r>
    <n v="29"/>
    <s v="3361111-166"/>
    <x v="26"/>
    <s v="-"/>
    <x v="0"/>
    <x v="8"/>
    <s v="LP-DSERQUEN"/>
    <s v="LENOVO"/>
    <s v="THINKPAD E15 GEN 2"/>
    <s v="PF3WPT17"/>
    <s v="I7"/>
    <s v="1165G7"/>
    <m/>
    <n v="16"/>
    <s v="512 SSD"/>
    <s v="15.6&quot;"/>
    <s v="W11 PRO"/>
    <s v="MICROSOFT 365 EMPRESA ESTÁNDAR"/>
    <s v="ADLX65YLC2D"/>
    <s v="8SSA10R16920L1CZ241053E"/>
    <d v="2023-01-26T00:00:00"/>
    <d v="2023-01-31T00:00:00"/>
    <x v="19"/>
  </r>
  <r>
    <n v="30"/>
    <s v="3361111-123"/>
    <x v="27"/>
    <s v="-"/>
    <x v="0"/>
    <x v="1"/>
    <s v="LP-CDPICKING"/>
    <s v="HP"/>
    <s v="PROBOOK 450 G7"/>
    <s v="5CD113D1W4"/>
    <s v="I5"/>
    <s v="10210U"/>
    <m/>
    <n v="8"/>
    <s v="512 SSD"/>
    <s v="15.6&quot;"/>
    <s v="W11 PRO"/>
    <s v="MICROSOFT 365 EMPRESA ESTÁNDAR"/>
    <s v="HSTNN-CA40"/>
    <s v="WFTKU0EVKATKNZ"/>
    <d v="2021-10-15T00:00:00"/>
    <d v="2026-03-19T00:00:00"/>
    <x v="20"/>
  </r>
  <r>
    <n v="31"/>
    <s v="3361111-280"/>
    <x v="28"/>
    <s v="-"/>
    <x v="0"/>
    <x v="5"/>
    <s v="LP-DGONIA"/>
    <s v="HP"/>
    <s v="PROBOOK 460 G11"/>
    <s v="5CD5029XKD"/>
    <s v="ULTRA 7"/>
    <s v="155U"/>
    <m/>
    <n v="16"/>
    <s v="1 TB SSD"/>
    <s v="16&quot;"/>
    <s v="W11 PRO"/>
    <s v="MICROSOFT 365 EMPRESA ESTÁNDAR"/>
    <s v="TPN-CA20"/>
    <s v="WHRRH0GXPK80J00G"/>
    <d v="2025-09-15T00:00:00"/>
    <d v="2025-09-18T00:00:00"/>
    <x v="21"/>
  </r>
  <r>
    <n v="32"/>
    <s v="3361111-254"/>
    <x v="29"/>
    <s v="-"/>
    <x v="0"/>
    <x v="12"/>
    <s v="LP-DBROGGI"/>
    <s v="HP"/>
    <s v="PROBOOK 440 G10"/>
    <s v="5CD42963GT"/>
    <s v="I7"/>
    <s v="1355U "/>
    <m/>
    <n v="16"/>
    <s v="512 SSD"/>
    <s v="14&quot;"/>
    <s v="W11 PRO"/>
    <s v="MICROSOFT 365 EMPRESA ESTÁNDAR"/>
    <s v="TPN-LA15"/>
    <s v="WHHRE0A1RJK0QN"/>
    <d v="2025-01-02T00:00:00"/>
    <d v="2025-03-03T00:00:00"/>
    <x v="11"/>
  </r>
  <r>
    <n v="33"/>
    <s v="3361111-281"/>
    <x v="30"/>
    <s v="-"/>
    <x v="0"/>
    <x v="13"/>
    <s v="LP-DHERNANDEZ"/>
    <s v="HP"/>
    <s v="PROBOOK 460 G11"/>
    <s v="1H85273GD8"/>
    <s v="ULTRA 7"/>
    <s v="155U"/>
    <m/>
    <n v="32"/>
    <s v="1 TB SSD"/>
    <s v="16&quot;"/>
    <s v="W11 PRO"/>
    <s v="MICROSOFT 365 EMPRESA ESTÁNDAR"/>
    <s v="TPN-CA20"/>
    <s v="WTYLE0A3JKZF9F0A"/>
    <d v="2025-09-15T00:00:00"/>
    <d v="2025-09-17T00:00:00"/>
    <x v="21"/>
  </r>
  <r>
    <n v="34"/>
    <s v="3361111-274"/>
    <x v="31"/>
    <s v="-"/>
    <x v="0"/>
    <x v="3"/>
    <s v="LP-DALCA"/>
    <s v="LENOVO"/>
    <s v="THINKPAD E14 GEN 6"/>
    <s v="SPF58ANDC"/>
    <s v="ULTRA 7"/>
    <s v="155H"/>
    <m/>
    <n v="32"/>
    <s v="512 SSD"/>
    <s v="14&quot;"/>
    <s v="W11 PRO"/>
    <s v="MICROSOFT 365 EMPRESA ESTÁNDAR"/>
    <s v="ADLX65YDC2E"/>
    <s v="8SGX21J75554D1SG4AX3FCB"/>
    <d v="2025-06-09T00:00:00"/>
    <d v="2025-06-09T00:00:00"/>
    <x v="22"/>
  </r>
  <r>
    <n v="35"/>
    <s v="3361111-230"/>
    <x v="32"/>
    <s v="-"/>
    <x v="0"/>
    <x v="3"/>
    <s v="LP-DPARDO"/>
    <s v="HP"/>
    <s v="240 G10"/>
    <s v="5CG4194NF6"/>
    <s v="I7"/>
    <s v="1355U "/>
    <m/>
    <n v="16"/>
    <s v="512 SSD"/>
    <s v="14&quot;"/>
    <s v="W11 PRO"/>
    <s v="MICROSOFT 365 EMPRESA ESTÁNDAR"/>
    <s v="TPN-DA16"/>
    <s v="WHHWK0CDDJA9NM"/>
    <d v="2024-10-09T00:00:00"/>
    <d v="2025-06-02T00:00:00"/>
    <x v="5"/>
  </r>
  <r>
    <n v="36"/>
    <s v="3361111-222"/>
    <x v="33"/>
    <s v="-"/>
    <x v="0"/>
    <x v="3"/>
    <s v="LP-EALBARRAN"/>
    <s v="HP"/>
    <s v="PROBOOK 440 G9"/>
    <s v="5CD333KXMN"/>
    <s v="I5"/>
    <s v="1235U "/>
    <m/>
    <n v="16"/>
    <s v="512 SSD"/>
    <s v="14&quot;"/>
    <s v="W11 PRO"/>
    <s v="MICROSOFT 365 EMPRESA ESTÁNDAR"/>
    <s v="TPN-CA14"/>
    <s v="WHGRE0DV3IBGTK"/>
    <d v="2024-07-18T00:00:00"/>
    <d v="2024-08-09T00:00:00"/>
    <x v="23"/>
  </r>
  <r>
    <n v="37"/>
    <s v="3361111-085"/>
    <x v="34"/>
    <s v="-"/>
    <x v="0"/>
    <x v="3"/>
    <s v="LP-EACHATA"/>
    <s v="FUJITSU"/>
    <s v="LIFEBOOK E547"/>
    <s v="DS1L006913"/>
    <s v="I7"/>
    <s v="7500U"/>
    <m/>
    <n v="8"/>
    <s v="512 SSD"/>
    <s v="14&quot;"/>
    <s v="W11 PRO"/>
    <s v="MICROSOFT 365 EMPRESA ESTÁNDAR"/>
    <s v="ADP-65MD B"/>
    <s v="17903147E"/>
    <d v="2019-06-24T00:00:00"/>
    <d v="2025-05-20T00:00:00"/>
    <x v="24"/>
  </r>
  <r>
    <n v="38"/>
    <s v="3361111-179"/>
    <x v="35"/>
    <s v="-"/>
    <x v="0"/>
    <x v="0"/>
    <s v="LP-EMARTINEZ"/>
    <s v="HP"/>
    <s v="240 G8"/>
    <s v="5CG1412RQW"/>
    <s v="I3"/>
    <s v="1005G1"/>
    <m/>
    <n v="8"/>
    <s v="512 SSD"/>
    <s v="14&quot;"/>
    <s v="W11 PRO"/>
    <s v="MICROSOFT 365 EMPRESA BÁSICO"/>
    <s v="TPN-CA14"/>
    <s v="WHGRE0CNJFNOBC0C"/>
    <d v="2023-07-04T00:00:00"/>
    <d v="2025-07-09T00:00:00"/>
    <x v="16"/>
  </r>
  <r>
    <n v="39"/>
    <s v="-"/>
    <x v="35"/>
    <s v="-"/>
    <x v="1"/>
    <x v="0"/>
    <s v="PC-EMARTINEZ"/>
    <s v="HP"/>
    <s v="PRODESK 400 G5 SFF"/>
    <s v="MXL91249H0"/>
    <s v="I7"/>
    <n v="8700"/>
    <m/>
    <n v="16"/>
    <s v="512 SSD"/>
    <s v="-"/>
    <s v="W11 PRO"/>
    <s v="MICROSOFT 365 EMPRESA ESTÁNDAR"/>
    <s v="-"/>
    <s v="-"/>
    <s v="-"/>
    <d v="2025-07-09T00:00:00"/>
    <x v="1"/>
  </r>
  <r>
    <n v="40"/>
    <s v="3361111-161"/>
    <x v="36"/>
    <s v="-"/>
    <x v="0"/>
    <x v="10"/>
    <s v="LP-ETIZA"/>
    <s v="LENOVO"/>
    <s v="THINKPAD E15 GEN 2"/>
    <s v="PF3WS1HW"/>
    <s v="I5"/>
    <s v="1135G7 "/>
    <m/>
    <n v="16"/>
    <s v="512 SSD"/>
    <s v="15.6&quot;"/>
    <s v="W11 PRO"/>
    <s v="MICROSOFT 365 EMPRESA ESTÁNDAR"/>
    <s v="ADLX65YCC2D"/>
    <s v="8SSA10R16922C2TJ2410D3G"/>
    <d v="2022-10-17T00:00:00"/>
    <d v="2022-10-25T00:00:00"/>
    <x v="4"/>
  </r>
  <r>
    <n v="41"/>
    <s v="3361111-221"/>
    <x v="37"/>
    <s v="-"/>
    <x v="0"/>
    <x v="10"/>
    <s v="LP-EAPAZA"/>
    <s v="HP"/>
    <s v="PROBOOK 440 G9"/>
    <s v="5CD333KXQY"/>
    <s v="I5"/>
    <s v="1235U "/>
    <m/>
    <n v="16"/>
    <s v="512 SSD"/>
    <s v="14&quot;"/>
    <s v="W11 PRO"/>
    <s v="MICROSOFT 365 EMPRESA ESTÁNDAR"/>
    <s v="TPN-CA14"/>
    <s v="WHGRE0DVKICECX"/>
    <d v="2024-07-18T00:00:00"/>
    <d v="2025-06-02T00:00:00"/>
    <x v="23"/>
  </r>
  <r>
    <n v="42"/>
    <s v="3361111-238"/>
    <x v="38"/>
    <s v="-"/>
    <x v="0"/>
    <x v="0"/>
    <s v="LP-EHIDALGO"/>
    <s v="HP"/>
    <s v="250 G10"/>
    <s v="1H84180KD8"/>
    <s v="I7"/>
    <s v="1355U "/>
    <m/>
    <n v="16"/>
    <s v="512 SSD"/>
    <s v="15.6&quot;"/>
    <s v="W11 PRO"/>
    <s v="MICROSOFT 365 EMPRESA ESTÁNDAR"/>
    <s v="TPN-DA16"/>
    <s v="WHHWK0CM1J89PE"/>
    <d v="2025-01-02T00:00:00"/>
    <d v="2025-09-24T00:00:00"/>
    <x v="11"/>
  </r>
  <r>
    <n v="43"/>
    <s v="3361111-123"/>
    <x v="39"/>
    <s v="-"/>
    <x v="0"/>
    <x v="1"/>
    <s v="LP-FAPARICIO"/>
    <s v="HP"/>
    <s v="PROBOOK 450 G7"/>
    <s v="5CD113D1P1"/>
    <s v="I5"/>
    <s v="10210U"/>
    <m/>
    <n v="16"/>
    <s v="512 SSD"/>
    <s v="15.6&quot;"/>
    <s v="W11 PRO"/>
    <s v="MICROSOFT 365 EMPRESA ESTÁNDAR"/>
    <s v="TPN-LA15"/>
    <s v="WHHRE0A5REVITY"/>
    <d v="2021-10-15T00:00:00"/>
    <d v="2026-03-05T00:00:00"/>
    <x v="20"/>
  </r>
  <r>
    <n v="44"/>
    <s v="3361111-257"/>
    <x v="40"/>
    <s v="-"/>
    <x v="0"/>
    <x v="7"/>
    <s v="LP-FLAURENTE"/>
    <s v="HP"/>
    <s v="PROBOOK 460 G11"/>
    <s v="1H84460LKK"/>
    <s v="ULTRA 7"/>
    <s v="155U"/>
    <m/>
    <n v="16"/>
    <s v="1 TB SSD"/>
    <s v="16&quot;"/>
    <s v="W11 PRO"/>
    <s v="MICROSOFT 365 EMPRESA ESTÁNDAR"/>
    <s v="TPN-LA19"/>
    <s v="WHRRF0A1RJ8MU2"/>
    <d v="2025-03-10T00:00:00"/>
    <d v="2025-03-20T00:00:00"/>
    <x v="7"/>
  </r>
  <r>
    <n v="172"/>
    <s v="3361111-294"/>
    <x v="41"/>
    <s v="-"/>
    <x v="0"/>
    <x v="8"/>
    <s v="LP-FYACTAYO"/>
    <s v="LENOVO"/>
    <s v="THINKPAD E14 GEN 3"/>
    <s v="PF5MD5F8"/>
    <s v="ULTRA 5"/>
    <s v="255U"/>
    <s v="-"/>
    <n v="16"/>
    <s v="1 TB SSD"/>
    <s v="14&quot;"/>
    <s v="W11 PRO"/>
    <s v="MICROSOFT 365 EMPRESA ESTÁNDAR"/>
    <s v="ADLX65YDC2E"/>
    <s v="8SGX21J75554D1SG57F0992"/>
    <s v="22/04/2026"/>
    <m/>
    <x v="1"/>
  </r>
  <r>
    <n v="46"/>
    <s v="3361111-271"/>
    <x v="42"/>
    <s v="-"/>
    <x v="0"/>
    <x v="14"/>
    <s v="LP-FOTERO"/>
    <s v="LENOVO"/>
    <s v="THINKPAD X1 CARBON GEN 12"/>
    <s v="PF5KGZBH"/>
    <s v="ULTRA 7"/>
    <s v="155U"/>
    <m/>
    <n v="32"/>
    <s v="1 TB SSD"/>
    <s v="14&quot;"/>
    <s v="W11 PRO"/>
    <s v="MICROSOFT 365 EMPRESA ESTÁNDAR"/>
    <s v="ADLX65YCC2D"/>
    <s v="8SSA10R16922C2TJ"/>
    <d v="2025-05-14T00:00:00"/>
    <d v="2025-06-06T00:00:00"/>
    <x v="25"/>
  </r>
  <r>
    <n v="47"/>
    <s v="3361111-195"/>
    <x v="43"/>
    <s v="-"/>
    <x v="0"/>
    <x v="3"/>
    <s v="LP-GANAZCO"/>
    <s v="HP"/>
    <s v="240 G9"/>
    <s v="5CG31047R8"/>
    <s v="I5"/>
    <s v="1235U "/>
    <m/>
    <n v="8"/>
    <s v="512 SSD"/>
    <s v="14&quot;"/>
    <s v="W11 PRO"/>
    <s v="MICROSOFT 365 EMPRESA BÁSICO"/>
    <s v="TPN-CA01"/>
    <s v="WDUUV0B4L8IFP"/>
    <d v="2023-12-01T00:00:00"/>
    <d v="2023-12-27T00:00:00"/>
    <x v="14"/>
  </r>
  <r>
    <n v="48"/>
    <s v="3361111-209"/>
    <x v="44"/>
    <s v="-"/>
    <x v="0"/>
    <x v="3"/>
    <s v="LP-GAPOLINARIO"/>
    <s v="HP"/>
    <s v="240 G9"/>
    <s v="5CG3151PT"/>
    <s v="I5"/>
    <s v="1235U"/>
    <m/>
    <n v="16"/>
    <s v="512 SSD"/>
    <s v="14&quot;"/>
    <s v="W11 PRO"/>
    <s v="MICROSOFT 365 EMPRESA BÁSICO"/>
    <s v="TPN-LA15"/>
    <s v="WHHRE0A3UHHI1D"/>
    <d v="2023-12-26T00:00:00"/>
    <d v="2026-03-10T00:00:00"/>
    <x v="18"/>
  </r>
  <r>
    <n v="51"/>
    <s v="3361111-239"/>
    <x v="45"/>
    <s v="-"/>
    <x v="0"/>
    <x v="15"/>
    <s v="LP-GSOLLER"/>
    <s v="HP"/>
    <s v="250 G10"/>
    <s v="1H84180KK9"/>
    <s v="I7"/>
    <s v="1355U "/>
    <m/>
    <n v="16"/>
    <s v="512 SSD"/>
    <s v="15.6&quot;"/>
    <s v="W11 PRO"/>
    <s v="MICROSOFT 365 EMPRESA ESTÁNDAR"/>
    <s v="TPN-DA16"/>
    <s v="WHHWK0CM1J88FV"/>
    <d v="2025-01-02T00:00:00"/>
    <d v="2025-01-08T00:00:00"/>
    <x v="11"/>
  </r>
  <r>
    <n v="52"/>
    <s v="3361111-197"/>
    <x v="46"/>
    <s v="-"/>
    <x v="0"/>
    <x v="3"/>
    <s v="LP-GMALCA"/>
    <s v="HP"/>
    <s v="240 G9"/>
    <s v="5CG3104PRG"/>
    <s v="I5"/>
    <s v="1235U"/>
    <m/>
    <n v="8"/>
    <s v="512 SSD"/>
    <s v="14&quot;"/>
    <s v="W11 PRO"/>
    <s v="MICROSOFT 365 EMPRESA BÁSICO"/>
    <s v="TPN-LA15"/>
    <s v="WHGRE0CNJHLXVJ"/>
    <d v="2023-12-01T00:00:00"/>
    <d v="2024-02-09T00:00:00"/>
    <x v="14"/>
  </r>
  <r>
    <n v="53"/>
    <s v="3361111-234"/>
    <x v="47"/>
    <s v="-"/>
    <x v="0"/>
    <x v="15"/>
    <s v="LP-GBUSTOS"/>
    <s v="LENOVO"/>
    <s v="THINKPAD E14 GEN 6"/>
    <s v="PF505YY6"/>
    <s v="ULTRA 7"/>
    <s v="165U "/>
    <m/>
    <n v="32"/>
    <s v="1 TB SSD"/>
    <s v="14&quot;"/>
    <s v="W11 PRO"/>
    <s v="MICROSOFT 365 EMPRESA ESTÁNDAR"/>
    <s v="ADLX65YAC2E"/>
    <s v="8SGX21J75553A1WH47P2985"/>
    <d v="2024-09-13T00:00:00"/>
    <d v="2024-09-30T00:00:00"/>
    <x v="26"/>
  </r>
  <r>
    <n v="54"/>
    <s v="3361111-233"/>
    <x v="48"/>
    <s v="-"/>
    <x v="0"/>
    <x v="16"/>
    <s v="LP-GNAVA"/>
    <s v="HP"/>
    <s v="240 G10"/>
    <s v="5CG4194NB5"/>
    <s v="I7"/>
    <s v="1355U "/>
    <m/>
    <n v="16"/>
    <s v="512 SSD"/>
    <s v="14&quot;"/>
    <s v="W11 PRO"/>
    <s v="MICROSOFT 365 EMPRESA BÁSICO"/>
    <s v="TPN-DA16"/>
    <s v="WHHWK0CCXJAB6W"/>
    <d v="2024-09-24T00:00:00"/>
    <d v="2025-05-23T00:00:00"/>
    <x v="26"/>
  </r>
  <r>
    <n v="55"/>
    <s v="3361111-253"/>
    <x v="49"/>
    <s v="-"/>
    <x v="0"/>
    <x v="3"/>
    <s v="LP-HEJUAREZ"/>
    <s v="HP"/>
    <s v="PROBOOK 440 G10"/>
    <s v="5CD4298S9W"/>
    <s v="I5"/>
    <s v="1335U"/>
    <m/>
    <n v="16"/>
    <s v="512 SSD"/>
    <s v="14&quot;"/>
    <s v="W11 PRO"/>
    <s v="MICROSOFT 365 EMPRESA BÁSICO"/>
    <s v="TPN-LA15"/>
    <s v="WHHRE0A4LJL62P"/>
    <d v="2025-01-02T00:00:00"/>
    <d v="2025-02-03T00:00:00"/>
    <x v="11"/>
  </r>
  <r>
    <n v="56"/>
    <s v="-"/>
    <x v="50"/>
    <s v="-"/>
    <x v="0"/>
    <x v="1"/>
    <s v="LP-ATECBODEGA"/>
    <s v="HP"/>
    <s v="250 G7"/>
    <s v="CND0284RTY"/>
    <s v="I5"/>
    <s v="1035G1 "/>
    <m/>
    <n v="16"/>
    <s v="512 SSD"/>
    <s v="15.6&quot;"/>
    <s v="W11 PRO"/>
    <s v="MICROSOFT 365 EMPRESA ESTÁNDAR"/>
    <s v="TPN-LA16"/>
    <s v="WHHRF0A1RDSBTN"/>
    <d v="2020-09-04T00:00:00"/>
    <d v="2025-04-09T00:00:00"/>
    <x v="27"/>
  </r>
  <r>
    <n v="57"/>
    <s v="3361111-095"/>
    <x v="50"/>
    <s v="-"/>
    <x v="0"/>
    <x v="1"/>
    <s v="LP-RTBODEGA"/>
    <s v="HP"/>
    <s v="250 G7"/>
    <s v="CND0295TQM"/>
    <s v="I7"/>
    <s v="1065G7"/>
    <m/>
    <n v="16"/>
    <s v="1 TB SSD"/>
    <s v="15.6&quot;"/>
    <s v="W11 PRO"/>
    <s v="MICROSOFT 365 EMPRESA ESTÁNDAR"/>
    <s v="TPN-CA16"/>
    <s v="WHGRH0AGCDWKHZ"/>
    <d v="2020-09-01T00:00:00"/>
    <d v="2026-01-27T00:00:00"/>
    <x v="27"/>
  </r>
  <r>
    <n v="58"/>
    <s v="3361111-287"/>
    <x v="50"/>
    <s v="-"/>
    <x v="0"/>
    <x v="1"/>
    <s v="LP-HJUAREZ"/>
    <s v="LENOVO"/>
    <s v="THINKPAD E16 GEN 3"/>
    <s v="PF5MGCP4"/>
    <s v="ULTRA 5"/>
    <s v="225U"/>
    <m/>
    <n v="16"/>
    <s v="1 TB SSD"/>
    <s v="16&quot;"/>
    <s v="W11 PRO"/>
    <s v="MICROSOFT 365 EMPRESA ESTÁNDAR"/>
    <s v="ADLX65YDC2E"/>
    <m/>
    <d v="2026-02-02T00:00:00"/>
    <d v="2026-02-26T00:00:00"/>
    <x v="28"/>
  </r>
  <r>
    <n v="59"/>
    <s v="3361111-164"/>
    <x v="51"/>
    <s v="-"/>
    <x v="0"/>
    <x v="12"/>
    <s v="LP-HVILLAFUERTE"/>
    <s v="LENOVO"/>
    <s v="THINKPAD E14 GEN 2"/>
    <s v="PF3WZFAC"/>
    <s v="I7"/>
    <s v="1165G7"/>
    <m/>
    <n v="16"/>
    <s v="512 SSD"/>
    <s v="14&quot;"/>
    <s v="W11 PRO"/>
    <s v="MICROSOFT 365 EMPRESA ESTÁNDAR"/>
    <s v="ADLX65YCC2D"/>
    <s v="8SSA10R16922C2TJ241S7S"/>
    <d v="2022-12-21T00:00:00"/>
    <d v="2023-12-29T00:00:00"/>
    <x v="29"/>
  </r>
  <r>
    <n v="60"/>
    <s v="3361111-272"/>
    <x v="52"/>
    <s v="-"/>
    <x v="0"/>
    <x v="3"/>
    <s v="LP-IGUTIERREZ"/>
    <s v="HP"/>
    <s v="PROBOOK 440 G11"/>
    <s v="5CD5016RNL"/>
    <s v="ULTRA 5"/>
    <s v="125U"/>
    <m/>
    <n v="16"/>
    <s v="512 SSD"/>
    <s v="14&quot;"/>
    <s v="W11 PRO"/>
    <s v="MICROSOFT 365 EMPRESA ESTÁNDAR"/>
    <s v="TPN-LA19"/>
    <s v="WHRRF0A5RK9A7T"/>
    <d v="2025-05-29T00:00:00"/>
    <d v="2025-06-06T00:00:00"/>
    <x v="25"/>
  </r>
  <r>
    <n v="62"/>
    <s v="3361111-243"/>
    <x v="53"/>
    <s v="-"/>
    <x v="0"/>
    <x v="10"/>
    <s v="LP-JMOGOLLON"/>
    <s v="HP"/>
    <s v="PROBOOK 440 G10"/>
    <s v="5CD4298S6Q"/>
    <s v="I5"/>
    <s v="1335U"/>
    <m/>
    <n v="16"/>
    <s v="512 SSD"/>
    <s v="14&quot;"/>
    <s v="W11 PRO"/>
    <s v="MICROSOFT 365 EMPRESA ESTÁNDAR"/>
    <s v="TPN-LA15"/>
    <s v="WHHRE0A4LJLNMT"/>
    <d v="2025-01-02T00:00:00"/>
    <d v="2025-01-27T00:00:00"/>
    <x v="11"/>
  </r>
  <r>
    <n v="63"/>
    <s v="3361111-064"/>
    <x v="54"/>
    <s v="-"/>
    <x v="0"/>
    <x v="9"/>
    <s v="LP-JSUEMATZU2"/>
    <s v="FUJITSU"/>
    <s v="LIFEBOOK E547"/>
    <s v="DS1L006905"/>
    <s v="I7"/>
    <s v="7500U "/>
    <m/>
    <n v="32"/>
    <s v="1 TB SSD"/>
    <s v="14&quot;"/>
    <s v="W11 PRO"/>
    <s v="MICROSOFT 365 EMPRESA ESTÁNDAR"/>
    <s v="ADP-65MD B"/>
    <s v="17903147E"/>
    <d v="2018-02-16T00:00:00"/>
    <s v="-"/>
    <x v="30"/>
  </r>
  <r>
    <n v="64"/>
    <s v="3361111-269"/>
    <x v="54"/>
    <s v="-"/>
    <x v="0"/>
    <x v="9"/>
    <s v="LP-JSUEMATZU"/>
    <s v="LENOVO"/>
    <s v="THINKPAD T16 GEN 3"/>
    <s v="PF5LP6CF"/>
    <s v="ULTRA 7"/>
    <s v="155H"/>
    <m/>
    <n v="32"/>
    <s v="1 TB SSD"/>
    <s v="16&quot;"/>
    <s v="W11 PRO"/>
    <s v="MICROSOFT 365 EMPRESA ESTÁNDAR"/>
    <s v="ADL100YLC3A"/>
    <s v="8SGX21J75543L1CZ5121970"/>
    <d v="2025-05-09T00:00:00"/>
    <s v="-"/>
    <x v="25"/>
  </r>
  <r>
    <n v="65"/>
    <s v="3361111-205"/>
    <x v="55"/>
    <s v="-"/>
    <x v="0"/>
    <x v="3"/>
    <s v="LP-JZEGARRA"/>
    <s v="HP"/>
    <s v="240 G9"/>
    <s v="5CG31050QZ"/>
    <s v="I5"/>
    <s v="1235U"/>
    <m/>
    <n v="8"/>
    <s v="512 SSD"/>
    <s v="14&quot;"/>
    <s v="W11 PRO"/>
    <s v="MICROSOFT 365 EMPRESA BÁSICO"/>
    <s v="TPN-LA15"/>
    <s v="WHHRE0A3UHHFTI"/>
    <d v="2023-12-26T00:00:00"/>
    <d v="2024-01-19T00:00:00"/>
    <x v="18"/>
  </r>
  <r>
    <n v="66"/>
    <s v="3361111-266"/>
    <x v="56"/>
    <s v="-"/>
    <x v="0"/>
    <x v="10"/>
    <s v="LP-JMOSQUERA"/>
    <s v="HP"/>
    <s v="PROBOOK 440 G11"/>
    <s v="5CD5016RWS"/>
    <s v="ULTRA 7"/>
    <s v="155U"/>
    <m/>
    <n v="16"/>
    <s v="1 TB SSD"/>
    <s v="14&quot;"/>
    <s v="W11 PRO"/>
    <s v="MICROSOFT 365 EMPRESA ESTÁNDAR"/>
    <s v="TPN-LA19"/>
    <s v="WHRRF0A5RK97DF"/>
    <d v="2025-04-07T00:00:00"/>
    <d v="2025-04-08T00:00:00"/>
    <x v="7"/>
  </r>
  <r>
    <n v="67"/>
    <s v="3361111-115"/>
    <x v="57"/>
    <s v="-"/>
    <x v="0"/>
    <x v="5"/>
    <s v="LP-JVILLAGARAY"/>
    <s v="HP"/>
    <s v="PROBOOK 450 G7"/>
    <s v="5CD117C34L"/>
    <s v="I7"/>
    <s v="10510U"/>
    <m/>
    <n v="16"/>
    <s v="1 TB SSD"/>
    <s v="15.6&quot;"/>
    <s v="W11 PRO"/>
    <s v="MICROSOFT 365 EMPRESA ESTÁNDAR"/>
    <s v="TPN-CA14"/>
    <s v="WHGRE0B3GEZ8NU0B"/>
    <d v="2021-08-05T00:00:00"/>
    <d v="2025-10-09T00:00:00"/>
    <x v="2"/>
  </r>
  <r>
    <n v="68"/>
    <s v="3361111-169"/>
    <x v="58"/>
    <s v="-"/>
    <x v="0"/>
    <x v="3"/>
    <s v="LP-JURIARTE"/>
    <s v="HP"/>
    <s v="14-DQ2510LA"/>
    <s v="5CD225BBDZ"/>
    <s v="I3"/>
    <s v="1115G4"/>
    <m/>
    <n v="8"/>
    <s v="512 SSD"/>
    <s v="14&quot;"/>
    <s v="W11 PRO"/>
    <s v="MICROSOFT 365 EMPRESA BÁSICO"/>
    <s v="TPN-CA14"/>
    <s v="WHGRE0ADWDVKF9"/>
    <d v="2023-03-31T00:00:00"/>
    <d v="2024-10-28T00:00:00"/>
    <x v="31"/>
  </r>
  <r>
    <n v="69"/>
    <s v="3361111-276"/>
    <x v="59"/>
    <s v="-"/>
    <x v="0"/>
    <x v="3"/>
    <s v="LP-JHURTADO"/>
    <s v="HP"/>
    <s v="PROBOOK 440 G11"/>
    <s v="5CD5217C0N"/>
    <s v="ULTRA 5"/>
    <s v="125U"/>
    <m/>
    <n v="16"/>
    <s v="512 SSD"/>
    <s v="14&quot;"/>
    <s v="W11 PRO"/>
    <s v="MICROSOFT 365 EMPRESA BÁSICO"/>
    <s v="TPN-LA19"/>
    <s v="WHRRF0A1RKQI7D"/>
    <d v="2025-08-21T00:00:00"/>
    <d v="2025-09-02T00:00:00"/>
    <x v="32"/>
  </r>
  <r>
    <n v="70"/>
    <s v="3361111-277"/>
    <x v="60"/>
    <s v="-"/>
    <x v="0"/>
    <x v="3"/>
    <s v="LP-JIFLORES"/>
    <s v="HP"/>
    <s v="PROBOOK 440 G11"/>
    <s v="5CD5232DDS"/>
    <s v="ULTRA 5"/>
    <s v="125U"/>
    <m/>
    <n v="16"/>
    <s v="512 SSD"/>
    <s v="14&quot;"/>
    <s v="W11 PRO"/>
    <s v="MICROSOFT 365 EMPRESA BÁSICO"/>
    <s v="TPN-DA15"/>
    <s v="WTYLF0A4XKB0EQ"/>
    <d v="2025-08-21T00:00:00"/>
    <d v="2025-09-01T00:00:00"/>
    <x v="32"/>
  </r>
  <r>
    <n v="71"/>
    <s v="3361111-173"/>
    <x v="61"/>
    <s v="-"/>
    <x v="0"/>
    <x v="3"/>
    <s v="LP-JGUTIERREZ"/>
    <s v="HP"/>
    <s v="14-DQ2510LA"/>
    <s v="5CD225BBD6"/>
    <s v="I3"/>
    <s v="1115G4"/>
    <m/>
    <n v="8"/>
    <s v="512 SSD"/>
    <s v="14&quot;"/>
    <s v="W11 PRO"/>
    <s v="MICROSOFT 365 EMPRESA BÁSICO"/>
    <s v="TPN-CA14"/>
    <s v="WHGRE0CGCGFBSU"/>
    <d v="2023-04-24T00:00:00"/>
    <d v="2025-04-21T00:00:00"/>
    <x v="17"/>
  </r>
  <r>
    <n v="72"/>
    <s v="3361111-134"/>
    <x v="62"/>
    <s v="-"/>
    <x v="0"/>
    <x v="3"/>
    <s v="LP-JHERMOZA"/>
    <s v="HP"/>
    <s v="PROBOOK 440 G8"/>
    <s v="5CD204F84L"/>
    <s v="I7"/>
    <s v="1165G7"/>
    <m/>
    <n v="16"/>
    <s v="1 TB SSD"/>
    <s v="14&quot;"/>
    <s v="W11 PRO"/>
    <s v="MICROSOFT 365 EMPRESA ESTÁNDAR"/>
    <s v="TPN-CA16"/>
    <s v="WHHWK0CCXG4I1U"/>
    <d v="2022-04-28T00:00:00"/>
    <d v="2026-01-23T00:00:00"/>
    <x v="33"/>
  </r>
  <r>
    <n v="73"/>
    <s v="3361111-278"/>
    <x v="63"/>
    <s v="-"/>
    <x v="0"/>
    <x v="3"/>
    <s v="LP-JATOCHE"/>
    <s v="LENOVO"/>
    <s v="THINKPAD E16 GEN 2"/>
    <s v="PF5FTCSH"/>
    <s v="ULTRA 7"/>
    <s v="155H"/>
    <m/>
    <n v="16"/>
    <s v="1 TB SSD"/>
    <s v="16&quot;"/>
    <s v="W11 PRO"/>
    <s v="MICROSOFT 365 EMPRESA ESTÁNDAR"/>
    <s v="ADLX65YDC2E"/>
    <s v="8SGX21J75554D1SG4CC4EZ6"/>
    <d v="2025-09-15T00:00:00"/>
    <d v="2025-09-16T00:00:00"/>
    <x v="21"/>
  </r>
  <r>
    <n v="74"/>
    <s v="3361111-216"/>
    <x v="64"/>
    <s v="-"/>
    <x v="0"/>
    <x v="8"/>
    <s v="LP-JVACCARO"/>
    <s v="LENOVO"/>
    <s v="THINKPAD P16 GEN 2"/>
    <s v="PF5224PF"/>
    <s v="I9"/>
    <s v="13950HX "/>
    <m/>
    <n v="128"/>
    <s v="1 TB SSD"/>
    <s v="16&quot;"/>
    <s v="W11 PRO"/>
    <s v="MICROSOFT 365 EMPRESA ESTÁNDAR"/>
    <s v="ADL230SLC3A"/>
    <s v="8SSA10R16889L1CZ39B0PPS"/>
    <d v="2024-06-11T00:00:00"/>
    <d v="2024-07-19T00:00:00"/>
    <x v="34"/>
  </r>
  <r>
    <n v="75"/>
    <s v="3361111-232"/>
    <x v="65"/>
    <s v="-"/>
    <x v="0"/>
    <x v="3"/>
    <s v="LP-JCARRERA"/>
    <s v="HP"/>
    <s v="240 G10"/>
    <s v="5CG4194NFH"/>
    <s v="I7"/>
    <s v="1355U "/>
    <m/>
    <n v="16"/>
    <s v="512 SSD"/>
    <s v="14&quot;"/>
    <s v="W11 PRO"/>
    <s v="MICROSOFT 365 EMPRESA BÁSICO"/>
    <s v="TPN-DA16"/>
    <s v="WHHWK0CARJC4SG"/>
    <d v="2024-09-24T00:00:00"/>
    <d v="2024-10-04T00:00:00"/>
    <x v="26"/>
  </r>
  <r>
    <n v="76"/>
    <s v="3361111-264"/>
    <x v="66"/>
    <s v="-"/>
    <x v="0"/>
    <x v="1"/>
    <s v="LP-JMINAYA"/>
    <s v="HP"/>
    <s v="PROBOOK 460 G11"/>
    <s v="1H84460LLS"/>
    <s v="ULTRA 7"/>
    <s v="155U"/>
    <m/>
    <n v="16"/>
    <s v="1 TB SSD"/>
    <s v="16&quot;"/>
    <s v="W11 PRO"/>
    <s v="MICROSOFT 365 EMPRESA ESTÁNDAR"/>
    <s v="TPN-LA19"/>
    <s v="WHRRF0A1RJ9MPK"/>
    <d v="2025-04-01T00:00:00"/>
    <d v="2025-12-18T00:00:00"/>
    <x v="7"/>
  </r>
  <r>
    <n v="77"/>
    <s v="3361111-103"/>
    <x v="66"/>
    <s v="-"/>
    <x v="0"/>
    <x v="1"/>
    <s v="LP-REABASTO"/>
    <s v="DELL"/>
    <s v="LATITUDE 3410"/>
    <s v="DGFS963"/>
    <s v="I7"/>
    <s v="10510U"/>
    <m/>
    <n v="16"/>
    <s v="512 SSD"/>
    <s v="14&quot;"/>
    <s v="W11 PRO"/>
    <s v="MICROSOFT 365 EMPRESA BÁSICO"/>
    <s v="H65NS5-00"/>
    <s v="CN-0G6J41-CH600-08O-0TPB-A08"/>
    <d v="2021-03-06T00:00:00"/>
    <d v="2026-01-15T00:00:00"/>
    <x v="35"/>
  </r>
  <r>
    <n v="78"/>
    <s v="3361111-252"/>
    <x v="67"/>
    <s v="-"/>
    <x v="0"/>
    <x v="3"/>
    <s v="LP-JTENORIO"/>
    <s v="HP"/>
    <s v="PROBOOK 440 G10"/>
    <s v="5CD4298S8T"/>
    <s v="I5"/>
    <s v="1335U"/>
    <m/>
    <n v="16"/>
    <s v="512 SSD"/>
    <s v="14&quot;"/>
    <s v="W11 PRO"/>
    <s v="MICROSOFT 365 EMPRESA BÁSICO"/>
    <s v="TPN-LA15"/>
    <s v="WHHRE0A4LJL5VB"/>
    <d v="2025-01-02T00:00:00"/>
    <d v="2025-02-04T00:00:00"/>
    <x v="11"/>
  </r>
  <r>
    <n v="79"/>
    <s v="3361111-203"/>
    <x v="68"/>
    <s v="-"/>
    <x v="0"/>
    <x v="3"/>
    <s v="LP-JVILA"/>
    <s v="HP"/>
    <s v="240 G9"/>
    <s v="5CG310502L"/>
    <s v="I5"/>
    <s v="1235U"/>
    <m/>
    <n v="8"/>
    <s v="512 SSD"/>
    <s v="14&quot;"/>
    <s v="W11 PRO"/>
    <s v="MICROSOFT 365 EMPRESA BÁSICO"/>
    <s v="TPN-CA16"/>
    <s v="WHGRHODGCGX57E0D"/>
    <d v="2023-12-26T00:00:00"/>
    <d v="2025-11-10T00:00:00"/>
    <x v="18"/>
  </r>
  <r>
    <n v="80"/>
    <s v="3361111-175"/>
    <x v="69"/>
    <s v="-"/>
    <x v="0"/>
    <x v="3"/>
    <s v="LP-JCASTILLO"/>
    <s v="HP"/>
    <s v="14-DQ2510LA"/>
    <s v="5CD225BCDZ"/>
    <s v="I3"/>
    <s v="1115G4"/>
    <m/>
    <n v="8"/>
    <s v="500 SSD"/>
    <s v="14&quot;"/>
    <s v="W11 PRO"/>
    <s v="MICROSOFT 365 EMPRESA BÁSICO"/>
    <s v="TPN-CA14"/>
    <s v="WHGRE0CGCGFEML"/>
    <d v="2023-04-24T00:00:00"/>
    <d v="2024-12-03T00:00:00"/>
    <x v="17"/>
  </r>
  <r>
    <n v="81"/>
    <s v="3361111-150"/>
    <x v="70"/>
    <s v="-"/>
    <x v="0"/>
    <x v="13"/>
    <s v="LP-JCUEVA"/>
    <s v="LENOVO"/>
    <s v="THINKPAD E15 GEN 2"/>
    <s v="PF35WM28"/>
    <s v="I7"/>
    <s v="1165G7"/>
    <m/>
    <n v="32"/>
    <s v="1 TB SSD"/>
    <s v="15.6&quot;"/>
    <s v="W11 PRO"/>
    <s v="MICROSOFT 365 EMPRESA ESTÁNDAR"/>
    <s v="ADLX65YDC2D"/>
    <s v="8SSA10R16918D1SG1890JFM"/>
    <d v="2022-06-06T00:00:00"/>
    <d v="2025-10-07T00:00:00"/>
    <x v="9"/>
  </r>
  <r>
    <n v="157"/>
    <s v="3361111-167"/>
    <x v="71"/>
    <s v="-"/>
    <x v="0"/>
    <x v="10"/>
    <s v="LP-ACACHIMA"/>
    <s v="HP"/>
    <s v="14-DQ2510LA"/>
    <s v="5CD225BBKC"/>
    <s v="I3"/>
    <s v="1115G4"/>
    <m/>
    <n v="8"/>
    <s v="512 SSD"/>
    <s v="14&quot;"/>
    <s v="W11 PRO"/>
    <s v="MICROSOFT 365 EMPRESA ESTÁNDAR"/>
    <s v="TPC-CA14"/>
    <s v="WHGRE0BZKEK0QC"/>
    <d v="2023-04-01T00:00:00"/>
    <d v="2025-01-13T00:00:00"/>
    <x v="31"/>
  </r>
  <r>
    <n v="82"/>
    <s v="3361111-206"/>
    <x v="72"/>
    <s v="-"/>
    <x v="0"/>
    <x v="3"/>
    <s v="LP-JPEREZ"/>
    <s v="HP"/>
    <s v="240 G9"/>
    <s v="5CG310525T"/>
    <s v="I5"/>
    <s v="1235U"/>
    <m/>
    <n v="8"/>
    <s v="512 SSD"/>
    <s v="14&quot;"/>
    <s v="W11 PRO"/>
    <s v="MICROSOFT 365 EMPRESA BÁSICO"/>
    <s v="TPN-CA01"/>
    <s v="WDUUV0B4L8IIW"/>
    <d v="2023-12-26T00:00:00"/>
    <d v="2024-02-08T00:00:00"/>
    <x v="18"/>
  </r>
  <r>
    <n v="83"/>
    <s v="3361111-192"/>
    <x v="73"/>
    <s v="-"/>
    <x v="0"/>
    <x v="3"/>
    <s v="LP-JRUIZ"/>
    <s v="HP"/>
    <s v="240 G9"/>
    <s v="5CG3104L31"/>
    <s v="I5"/>
    <s v="1235U "/>
    <m/>
    <n v="16"/>
    <s v="512 SSD"/>
    <s v="14&quot;"/>
    <s v="W11 PRO"/>
    <s v="MICROSOFT 365 EMPRESA BÁSICO"/>
    <s v="TPN-LA15"/>
    <s v="WHHRE0A5REVITS"/>
    <d v="2023-12-01T00:00:00"/>
    <d v="2025-08-13T00:00:00"/>
    <x v="14"/>
  </r>
  <r>
    <n v="84"/>
    <s v="3361111-231"/>
    <x v="74"/>
    <s v="-"/>
    <x v="0"/>
    <x v="3"/>
    <s v="LP-JBOTTON"/>
    <s v="HP"/>
    <s v="240 G10"/>
    <s v="5CG4194NDW"/>
    <s v="I7"/>
    <s v="1355U "/>
    <m/>
    <n v="16"/>
    <s v="512 SSD"/>
    <s v="14&quot;"/>
    <s v="W11 PRO"/>
    <s v="MICROSOFT 365 EMPRESA BÁSICO"/>
    <s v="TPN-DA16"/>
    <s v="WHHWK0CCXJAAOL"/>
    <d v="2024-09-24T00:00:00"/>
    <d v="2025-12-03T00:00:00"/>
    <x v="26"/>
  </r>
  <r>
    <n v="85"/>
    <s v="3361111-242"/>
    <x v="75"/>
    <s v="-"/>
    <x v="0"/>
    <x v="3"/>
    <s v="LP-JCAVERO"/>
    <s v="HP"/>
    <s v="PROBOOK 440 G10"/>
    <s v="5CD4298S7C"/>
    <s v="I5"/>
    <s v="1335U"/>
    <m/>
    <n v="16"/>
    <s v="512 SSD"/>
    <s v="14&quot;"/>
    <s v="W11 PRO"/>
    <s v="MICROSOFT 365 EMPRESA BÁSICO"/>
    <s v="TPN-LA15"/>
    <s v="WHHRE0A4LJL6MF"/>
    <d v="2025-01-02T00:00:00"/>
    <d v="2026-02-03T00:00:00"/>
    <x v="11"/>
  </r>
  <r>
    <n v="86"/>
    <s v="3361111-132"/>
    <x v="76"/>
    <s v="-"/>
    <x v="0"/>
    <x v="3"/>
    <s v="LP-JNAKAZAKI"/>
    <s v="HP"/>
    <s v="348 G7"/>
    <s v="5CG1167ZNK"/>
    <s v="I3"/>
    <s v="10110U"/>
    <m/>
    <n v="8"/>
    <s v="512 SSD"/>
    <s v="14&quot;"/>
    <s v="W11 PRO"/>
    <s v="MICROSOFT 365 EMPRESA BÁSICO"/>
    <s v="TPN-CA16"/>
    <s v="WJEKF0BGCER6YF"/>
    <d v="2022-03-07T00:00:00"/>
    <d v="2025-07-14T00:00:00"/>
    <x v="36"/>
  </r>
  <r>
    <n v="87"/>
    <s v="3361111-128"/>
    <x v="77"/>
    <s v="-"/>
    <x v="0"/>
    <x v="3"/>
    <s v="LP-JULLOA"/>
    <s v="HP"/>
    <s v="348 G7"/>
    <s v="5CG11701BL"/>
    <s v="I3"/>
    <s v="10110U"/>
    <m/>
    <n v="8"/>
    <s v="512 SSD"/>
    <s v="14&quot;"/>
    <s v="W11 PRO"/>
    <s v="MICROSOFT 365 EMPRESA BÁSICO"/>
    <s v="TPN-CA16"/>
    <s v="WHGRH0CGCF09G9E"/>
    <d v="2022-01-29T00:00:00"/>
    <d v="2025-07-14T00:00:00"/>
    <x v="3"/>
  </r>
  <r>
    <n v="88"/>
    <s v="-"/>
    <x v="78"/>
    <s v="-"/>
    <x v="1"/>
    <x v="1"/>
    <s v="PC-SUPDEVOL"/>
    <s v="HP"/>
    <s v="ELITEDESK 800 G3 SFF"/>
    <s v="MXL7282BL7"/>
    <s v="I7"/>
    <n v="6700"/>
    <m/>
    <n v="16"/>
    <s v="512 SSD"/>
    <s v="-"/>
    <s v="W11 PRO"/>
    <s v="MICROSOFT 365 EMPRESA ESTÁNDAR"/>
    <s v="-"/>
    <s v="-"/>
    <s v="-"/>
    <s v="-"/>
    <x v="1"/>
  </r>
  <r>
    <n v="89"/>
    <s v="3361111-123"/>
    <x v="78"/>
    <s v="-"/>
    <x v="0"/>
    <x v="1"/>
    <s v="LP-DEVOLUCIONES"/>
    <s v="HP"/>
    <s v="PROBOOK 450 G7"/>
    <s v="5CD113D1WW"/>
    <s v="I5"/>
    <s v="10210U  "/>
    <m/>
    <n v="8"/>
    <s v="512 SSD"/>
    <s v="15.6&quot;"/>
    <s v="W11 PRO"/>
    <s v="MICROSOFT 365 EMPRESA ESTÁNDAR"/>
    <s v="TPN-LA15"/>
    <s v="WHHRE0A5REUI8U"/>
    <d v="2021-10-15T00:00:00"/>
    <d v="2026-02-26T00:00:00"/>
    <x v="20"/>
  </r>
  <r>
    <n v="90"/>
    <s v="3361111-124"/>
    <x v="79"/>
    <s v="-"/>
    <x v="0"/>
    <x v="3"/>
    <s v="LP-KROJAS"/>
    <s v="LENOVO"/>
    <s v="THINKPAD X1 CARBON"/>
    <s v="PF1XM0YP"/>
    <s v="I7"/>
    <s v="10710U"/>
    <m/>
    <n v="16"/>
    <s v="1 TB SSD"/>
    <s v="14&quot;"/>
    <s v="W11 PRO"/>
    <s v="MICROSOFT 365 EMPRESA ESTÁNDAR"/>
    <s v="ADLX65YLC2A"/>
    <s v="8SSA10M13948C1SG8AVCOW7"/>
    <d v="2021-10-18T00:00:00"/>
    <d v="2026-01-26T00:00:00"/>
    <x v="20"/>
  </r>
  <r>
    <n v="91"/>
    <s v="3361111-227"/>
    <x v="80"/>
    <s v="-"/>
    <x v="0"/>
    <x v="3"/>
    <s v="LP-KPEREZ"/>
    <s v="HP"/>
    <s v="240 G10"/>
    <s v="5CG4194NBC"/>
    <s v="I7"/>
    <s v="1355U "/>
    <m/>
    <n v="16"/>
    <s v="512 SSD"/>
    <s v="14&quot;"/>
    <s v="W11 PRO"/>
    <s v="MICROSOFT 365 EMPRESA BÁSICO"/>
    <s v="TPN-DA16"/>
    <s v="WHHWK0CDDJA9OF"/>
    <d v="2024-10-09T00:00:00"/>
    <d v="2024-10-21T00:00:00"/>
    <x v="5"/>
  </r>
  <r>
    <n v="92"/>
    <s v="3361111-244"/>
    <x v="81"/>
    <s v="-"/>
    <x v="0"/>
    <x v="10"/>
    <s v="LP-KREYNA"/>
    <s v="HP"/>
    <s v="PROBOOK 440 G10"/>
    <s v="5CD4298SD9"/>
    <s v="I5"/>
    <s v="1335U"/>
    <m/>
    <n v="16"/>
    <s v="512 SSD"/>
    <s v="14&quot;"/>
    <s v="W11 PRO"/>
    <s v="MICROSOFT 365 EMPRESA ESTÁNDAR"/>
    <s v="TPN-LA15"/>
    <s v="WHHRE0A3UJLYOL"/>
    <d v="2025-01-02T00:00:00"/>
    <d v="2025-01-27T00:00:00"/>
    <x v="11"/>
  </r>
  <r>
    <n v="93"/>
    <s v="3361111-162"/>
    <x v="82"/>
    <s v="-"/>
    <x v="0"/>
    <x v="2"/>
    <s v="LP-KDELBUENO"/>
    <s v="LENOVO"/>
    <s v="THINKPAD E15 GEN2"/>
    <s v="PF3X4SLJ"/>
    <s v="I5"/>
    <s v="1135G7"/>
    <m/>
    <n v="32"/>
    <s v="512 SSD"/>
    <s v="15.6&quot;"/>
    <s v="W11 PRO"/>
    <s v="MICROSOFT 365 EMPRESA ESTÁNDAR"/>
    <s v="ADLX65YCC2D"/>
    <s v="8SSA10R16922C2TJ2410CFZ"/>
    <d v="2022-10-17T00:00:00"/>
    <d v="2024-02-19T00:00:00"/>
    <x v="4"/>
  </r>
  <r>
    <n v="94"/>
    <s v="3227111-001"/>
    <x v="83"/>
    <s v="-"/>
    <x v="0"/>
    <x v="0"/>
    <s v="LP-LSAER"/>
    <s v="HP"/>
    <s v="240 G6"/>
    <s v="5CD8226V2Q"/>
    <s v="I3"/>
    <s v="7020U "/>
    <m/>
    <n v="8"/>
    <s v="512 SSD"/>
    <s v="14&quot;"/>
    <s v="W11 PRO"/>
    <s v="MICROSOFT 365 EMPRESA ESTÁNDAR"/>
    <s v="PPP009D"/>
    <s v="WCNXC0AAR3P4VH"/>
    <d v="2019-05-28T00:00:00"/>
    <d v="2023-08-03T00:00:00"/>
    <x v="0"/>
  </r>
  <r>
    <n v="95"/>
    <s v="-"/>
    <x v="83"/>
    <s v="-"/>
    <x v="1"/>
    <x v="0"/>
    <s v="PC-LSAER"/>
    <s v="HP"/>
    <s v="PRODESK 400 G9 SFF"/>
    <s v="4CE229BYDS"/>
    <s v="I5"/>
    <n v="12500"/>
    <m/>
    <n v="16"/>
    <s v="512 SSD"/>
    <s v="-"/>
    <s v="W11 PRO"/>
    <s v="MICROSOFT 365 EMPRESA ESTÁNDAR"/>
    <s v="-"/>
    <s v="-"/>
    <s v="-"/>
    <s v="-"/>
    <x v="1"/>
  </r>
  <r>
    <n v="96"/>
    <s v="3361111-177"/>
    <x v="84"/>
    <s v="-"/>
    <x v="0"/>
    <x v="17"/>
    <s v="LP-LESTRELLA"/>
    <s v="LENOVO"/>
    <s v="THINKPAD E14 GEN 4"/>
    <s v="PF42S9MT"/>
    <s v="I7"/>
    <s v="1255U"/>
    <m/>
    <n v="16"/>
    <s v="512 SSD"/>
    <s v="14&quot;"/>
    <s v="W11 PRO"/>
    <s v="MICROSOFT 365 EMPRESA ESTÁNDAR"/>
    <s v="ADLX65YCC2D"/>
    <s v="8SSA10R16922C2TJ26L0677"/>
    <d v="2023-05-11T00:00:00"/>
    <d v="2023-05-12T00:00:00"/>
    <x v="37"/>
  </r>
  <r>
    <n v="97"/>
    <s v="3361111-172"/>
    <x v="85"/>
    <s v="-"/>
    <x v="0"/>
    <x v="3"/>
    <s v="LP-LNEYRA"/>
    <s v="HP"/>
    <s v="14-DQ2510LA"/>
    <s v="5CD225BBD9"/>
    <s v="I3"/>
    <s v="1115G4 "/>
    <m/>
    <n v="8"/>
    <s v="512 SSD"/>
    <s v="14&quot;"/>
    <s v="W11 PRO"/>
    <s v="MICROSOFT 365 EMPRESA ESTÁNDAR"/>
    <s v="TPN-CA14"/>
    <s v="WHGRE0C3GGN0P70C"/>
    <d v="2023-04-24T00:00:00"/>
    <d v="2025-10-29T00:00:00"/>
    <x v="17"/>
  </r>
  <r>
    <n v="98"/>
    <s v="3361111-220"/>
    <x v="86"/>
    <s v="-"/>
    <x v="0"/>
    <x v="3"/>
    <s v="LP-MZAVALETA"/>
    <s v="LENOVO"/>
    <s v="THINKPAD T16 GEN 2"/>
    <s v="PF4T8VBG"/>
    <s v="I7"/>
    <s v="1355U "/>
    <m/>
    <n v="16"/>
    <s v="1 TB SSD"/>
    <s v="16&quot;"/>
    <s v="W11 PRO"/>
    <s v="MICROSOFT 365 EMPRESA ESTÁNDAR"/>
    <s v="ADLX65YSLC2A"/>
    <s v="8SSA10R16985L1CZ3C1028V"/>
    <d v="2024-08-13T00:00:00"/>
    <d v="2024-08-15T00:00:00"/>
    <x v="38"/>
  </r>
  <r>
    <n v="99"/>
    <s v="3361111-102"/>
    <x v="87"/>
    <s v="-"/>
    <x v="0"/>
    <x v="3"/>
    <s v="LP-MCHAVEZ"/>
    <s v="DELL"/>
    <s v="INSPIRON 3493"/>
    <s v="JSSVN63"/>
    <s v="I5"/>
    <s v="1035G1 "/>
    <m/>
    <n v="12"/>
    <s v="512 SSD"/>
    <s v="14&quot;"/>
    <s v="W11 PRO"/>
    <s v="MICROSOFT 365 EMPRESA BÁSICO"/>
    <s v="LA45NM140"/>
    <s v="CN-0KXTTW-72438-63G-147D-A01"/>
    <d v="2021-03-06T00:00:00"/>
    <d v="2025-05-26T00:00:00"/>
    <x v="35"/>
  </r>
  <r>
    <n v="101"/>
    <s v="3361111-259"/>
    <x v="88"/>
    <s v="-"/>
    <x v="0"/>
    <x v="5"/>
    <s v="LP-MROMERO"/>
    <s v="HP"/>
    <s v="PROBOOK 460 G11"/>
    <s v="1H84460LG3"/>
    <s v="ULTRA 7"/>
    <s v="155U"/>
    <m/>
    <n v="16"/>
    <s v="1 TB SSD"/>
    <s v="16&quot;"/>
    <s v="W11 PRO"/>
    <s v="MICROSOFT 365 EMPRESA ESTÁNDAR"/>
    <s v="TPN-LA19"/>
    <s v="WHRRF0A1RJ8MUE"/>
    <d v="2025-03-10T00:00:00"/>
    <d v="2025-03-24T00:00:00"/>
    <x v="7"/>
  </r>
  <r>
    <n v="102"/>
    <s v="-"/>
    <x v="89"/>
    <s v="-"/>
    <x v="1"/>
    <x v="0"/>
    <s v="PC-MPLASENCIA"/>
    <s v="HP"/>
    <s v="PRODESK 400 G9 SFF"/>
    <s v="4CE229BYQK"/>
    <s v="I5"/>
    <n v="12500"/>
    <m/>
    <n v="16"/>
    <s v="512 SSD"/>
    <s v="-"/>
    <s v="W11 PRO"/>
    <s v="MICROSOFT 365 EMPRESA ESTÁNDAR"/>
    <s v="-"/>
    <s v="-"/>
    <s v="-"/>
    <s v="-"/>
    <x v="1"/>
  </r>
  <r>
    <n v="103"/>
    <s v="3361111-096"/>
    <x v="89"/>
    <s v="-"/>
    <x v="0"/>
    <x v="0"/>
    <s v="LP-MPLASENCIA"/>
    <s v="HP"/>
    <s v="250 G7"/>
    <s v="CND0284RV6"/>
    <s v="I5"/>
    <s v="1035G1 "/>
    <m/>
    <n v="16"/>
    <s v="512 SSD"/>
    <s v="15.6&quot;"/>
    <s v="W11 PRO"/>
    <s v="MICROSOFT 365 EMPRESA ESTÁNDAR"/>
    <s v="TPN-LA16"/>
    <s v="WHHRF0A1RDSBXL"/>
    <d v="2020-09-04T00:00:00"/>
    <d v="2025-05-14T00:00:00"/>
    <x v="27"/>
  </r>
  <r>
    <n v="104"/>
    <s v="3361111-178"/>
    <x v="90"/>
    <s v="-"/>
    <x v="0"/>
    <x v="17"/>
    <s v="LP-MVILLEGAS"/>
    <s v="LENOVO"/>
    <s v="THINKPAD E14 GEN 4"/>
    <s v="PF42SGG4"/>
    <s v="I7"/>
    <s v="1255U"/>
    <m/>
    <n v="40"/>
    <s v="512 SSD"/>
    <s v="14&quot;"/>
    <s v="W11 PRO"/>
    <s v="MICROSOFT 365 EMPRESA ESTÁNDAR"/>
    <s v="ADLX65YDC3D"/>
    <s v="8SSA10R16870D1SG13D08UB"/>
    <d v="2023-05-11T00:00:00"/>
    <d v="2025-10-09T00:00:00"/>
    <x v="37"/>
  </r>
  <r>
    <n v="105"/>
    <s v="3361111-247"/>
    <x v="91"/>
    <s v="-"/>
    <x v="0"/>
    <x v="3"/>
    <s v="LP-MBARRERA"/>
    <s v="HP"/>
    <s v="PROBOOK 440 G10"/>
    <s v="5CD4298SD5"/>
    <s v="I5"/>
    <s v="1335U"/>
    <m/>
    <n v="16"/>
    <s v="512 SSD"/>
    <s v="14&quot;"/>
    <s v="W11 PRO"/>
    <s v="MICROSOFT 365 EMPRESA BÁSICO"/>
    <s v="TPN-LA15"/>
    <s v="WHHRE0A4LJLN2E"/>
    <d v="2025-01-02T00:00:00"/>
    <d v="2025-01-29T00:00:00"/>
    <x v="11"/>
  </r>
  <r>
    <n v="106"/>
    <s v="3361111-286"/>
    <x v="92"/>
    <s v="-"/>
    <x v="0"/>
    <x v="1"/>
    <s v="LP-MMALPARTIDA"/>
    <s v="LENOVO"/>
    <s v="THINKPAD E16 GEN 3"/>
    <s v="PF5MFPAW"/>
    <s v="ULTRA 5"/>
    <s v="225U"/>
    <m/>
    <n v="16"/>
    <s v="1 TB SSD"/>
    <s v="16&quot;"/>
    <s v="W11 PRO"/>
    <s v="MICROSOFT 365 EMPRESA ESTÁNDAR"/>
    <s v="ADLX65YDC2E"/>
    <s v="8SGX21J75554D1SG57805RZ"/>
    <d v="2026-02-02T00:00:00"/>
    <d v="2026-02-12T00:00:00"/>
    <x v="28"/>
  </r>
  <r>
    <n v="107"/>
    <s v="3227111-001"/>
    <x v="93"/>
    <s v="-"/>
    <x v="0"/>
    <x v="0"/>
    <s v="LP-MSANTOS"/>
    <s v="HP"/>
    <s v="240 G6"/>
    <s v="5CD8226TWS"/>
    <s v="I3"/>
    <s v="7020U "/>
    <m/>
    <n v="8"/>
    <s v="512 SSD"/>
    <s v="14&quot;"/>
    <s v="W11 PRO"/>
    <s v="MICROSOFT 365 EMPRESA ESTÁNDAR"/>
    <s v="PPP009D"/>
    <s v="WCNXC0AAR3P4VH"/>
    <d v="2019-05-28T00:00:00"/>
    <d v="2023-10-05T00:00:00"/>
    <x v="0"/>
  </r>
  <r>
    <n v="108"/>
    <s v="-"/>
    <x v="93"/>
    <s v="-"/>
    <x v="1"/>
    <x v="0"/>
    <s v="PC-MSANTOS"/>
    <s v="HP"/>
    <s v="PRODESK 400 G9 SFF"/>
    <s v="4CE229BYGX"/>
    <s v="I5"/>
    <n v="12500"/>
    <m/>
    <n v="16"/>
    <s v="512 SSD"/>
    <s v="-"/>
    <s v="W11 PRO"/>
    <s v="MICROSOFT 365 EMPRESA ESTÁNDAR"/>
    <s v="-"/>
    <s v="-"/>
    <s v="-"/>
    <s v="-"/>
    <x v="1"/>
  </r>
  <r>
    <n v="109"/>
    <s v="3361111-260"/>
    <x v="94"/>
    <s v="-"/>
    <x v="0"/>
    <x v="5"/>
    <s v="LP-MAPAZA"/>
    <s v="HP"/>
    <s v="PROBOOK 460 G11"/>
    <s v="1H84460LHV"/>
    <s v="ULTRA 7"/>
    <s v="155U"/>
    <m/>
    <n v="16"/>
    <s v="1 TB SSD"/>
    <s v="16&quot;"/>
    <s v="W11 PRO"/>
    <s v="MICROSOFT 365 EMPRESA ESTÁNDAR"/>
    <s v="TPN-LA19"/>
    <s v="WHRRF0A1RJ8MTI"/>
    <d v="2025-03-10T00:00:00"/>
    <d v="2025-03-18T00:00:00"/>
    <x v="7"/>
  </r>
  <r>
    <n v="110"/>
    <s v="3361111-126"/>
    <x v="95"/>
    <s v="-"/>
    <x v="0"/>
    <x v="0"/>
    <s v="LP-MVALLE"/>
    <s v="HP"/>
    <s v="250 G8"/>
    <s v="CND1293GBY"/>
    <s v="I5"/>
    <s v="1035G1 "/>
    <m/>
    <n v="16"/>
    <s v="512 SSD"/>
    <s v="15.6&quot;"/>
    <s v="W11 PRO"/>
    <s v="MICROSOFT 365 EMPRESA ESTÁNDAR"/>
    <s v="TPN-LA16"/>
    <s v="WHHRF0A3UEJB8M"/>
    <d v="2021-12-30T00:00:00"/>
    <d v="2025-07-09T00:00:00"/>
    <x v="10"/>
  </r>
  <r>
    <n v="111"/>
    <s v="-"/>
    <x v="95"/>
    <s v="-"/>
    <x v="1"/>
    <x v="0"/>
    <s v="PC-MVALLE"/>
    <s v="HP"/>
    <s v="PRODESK 400 G9 SFF"/>
    <s v="4CE229BYRC"/>
    <s v="I5"/>
    <n v="12500"/>
    <m/>
    <n v="16"/>
    <s v="512 SSD"/>
    <s v="-"/>
    <s v="W11 PRO"/>
    <s v="MICROSOFT 365 EMPRESA ESTÁNDAR"/>
    <s v="-"/>
    <s v="-"/>
    <s v="-"/>
    <s v="-"/>
    <x v="1"/>
  </r>
  <r>
    <n v="112"/>
    <s v="3361111-207"/>
    <x v="96"/>
    <s v="-"/>
    <x v="0"/>
    <x v="3"/>
    <s v="LP-MGUTIERREZ"/>
    <s v="HP"/>
    <s v="240 G9"/>
    <s v="5CG31050X4"/>
    <s v="I5"/>
    <s v="1235U"/>
    <m/>
    <n v="8"/>
    <s v="512 SSD"/>
    <s v="14&quot;"/>
    <s v="W11 PRO"/>
    <s v="MICROSOFT 365 EMPRESA BÁSICO"/>
    <s v="TPN-LA15"/>
    <s v="WHHRE0A3UHHFTR"/>
    <d v="2023-12-26T00:00:00"/>
    <d v="2024-02-01T00:00:00"/>
    <x v="18"/>
  </r>
  <r>
    <n v="113"/>
    <s v="3361111-225"/>
    <x v="97"/>
    <s v="-"/>
    <x v="0"/>
    <x v="3"/>
    <s v="LP-MPINEDA"/>
    <s v="HP"/>
    <s v="240 G10"/>
    <s v="5CG4194NFN"/>
    <s v="I7"/>
    <s v="1355U "/>
    <m/>
    <n v="16"/>
    <s v="512 SSD"/>
    <s v="14&quot;"/>
    <s v="W11 PRO"/>
    <s v="MICROSOFT 365 EMPRESA BÁSICO"/>
    <s v="TPN-DA16"/>
    <s v="WHHWK0CDDJA9P4"/>
    <d v="2024-10-09T00:00:00"/>
    <d v="2024-10-21T00:00:00"/>
    <x v="5"/>
  </r>
  <r>
    <n v="114"/>
    <s v="3361111-126"/>
    <x v="98"/>
    <s v="-"/>
    <x v="0"/>
    <x v="1"/>
    <s v="LP-CONTROLSTOCK"/>
    <s v="HP"/>
    <s v="250 G8"/>
    <s v="CND1293GNZ"/>
    <s v="I5"/>
    <s v="1035G1 "/>
    <m/>
    <n v="16"/>
    <s v="512 SSD"/>
    <s v="15.6&quot;"/>
    <s v="W11 PRO"/>
    <s v="MICROSOFT 365 EMPRESA ESTÁNDAR"/>
    <s v="TPN-LA16"/>
    <s v="WHHRF0A3UEOJCC"/>
    <d v="2021-12-31T00:00:00"/>
    <d v="2025-06-12T00:00:00"/>
    <x v="10"/>
  </r>
  <r>
    <n v="115"/>
    <s v="3361111-184"/>
    <x v="98"/>
    <s v="-"/>
    <x v="0"/>
    <x v="1"/>
    <s v="LP-MDIAZ"/>
    <s v="LENOVO"/>
    <s v="THINKPAD E15 GEN 4"/>
    <s v="PF429XT2"/>
    <s v="I5"/>
    <s v="1235U "/>
    <m/>
    <n v="16"/>
    <s v="512 SSD"/>
    <s v="15.6&quot;"/>
    <s v="W11 PRO"/>
    <s v="MICROSOFT 365 EMPRESA ESTÁNDAR"/>
    <s v="ADLX65YCC2D"/>
    <s v="8SSA10R16922C2TJ2680CBW"/>
    <d v="2023-07-04T00:00:00"/>
    <d v="2023-07-27T00:00:00"/>
    <x v="16"/>
  </r>
  <r>
    <n v="116"/>
    <s v="3361111-191"/>
    <x v="99"/>
    <s v="-"/>
    <x v="0"/>
    <x v="3"/>
    <s v="LP-NPRADO"/>
    <s v="HP"/>
    <s v="240 G9"/>
    <s v="5CG3104J1T"/>
    <s v="I5"/>
    <s v="1235U "/>
    <m/>
    <n v="8"/>
    <s v="512 SSD"/>
    <s v="14&quot;"/>
    <s v="W11 PRO"/>
    <s v="MICROSOFT 365 EMPRESA BÁSICO"/>
    <s v="TPN-CA14"/>
    <s v="WHGRE0CNJHLXVG"/>
    <d v="2023-12-01T00:00:00"/>
    <d v="2025-12-29T00:00:00"/>
    <x v="14"/>
  </r>
  <r>
    <n v="117"/>
    <s v="3361111-200"/>
    <x v="100"/>
    <s v="-"/>
    <x v="0"/>
    <x v="8"/>
    <s v="LP-OMONGE"/>
    <s v="HP"/>
    <s v="240 G9"/>
    <s v="5CG31051PV"/>
    <s v="I5"/>
    <s v="1235U"/>
    <m/>
    <n v="8"/>
    <s v="512 SSD"/>
    <s v="14&quot;"/>
    <s v="W11 PRO"/>
    <s v="MICROSOFT 365 EMPRESA ESTÁNDAR"/>
    <s v="TPN-LA15"/>
    <s v="WHHRE0A3UHHG7G"/>
    <d v="2023-12-26T00:00:00"/>
    <d v="2026-01-08T00:00:00"/>
    <x v="18"/>
  </r>
  <r>
    <n v="118"/>
    <s v="3361111-199"/>
    <x v="101"/>
    <s v="-"/>
    <x v="0"/>
    <x v="3"/>
    <s v="LP-OCARDENAS"/>
    <s v="HP"/>
    <s v="240 G9"/>
    <s v="5CG3103ZVP"/>
    <s v="I5"/>
    <s v="1235U"/>
    <m/>
    <n v="8"/>
    <s v="512 SSD"/>
    <s v="14&quot;"/>
    <s v="W11 PRO"/>
    <s v="MICROSOFT 365 EMPRESA BÁSICO"/>
    <s v="PPP009D"/>
    <s v="WCNXC0AAR3P1IP"/>
    <d v="2023-12-26T00:00:00"/>
    <d v="2025-03-18T00:00:00"/>
    <x v="18"/>
  </r>
  <r>
    <n v="119"/>
    <s v="3361111-190"/>
    <x v="102"/>
    <s v="-"/>
    <x v="0"/>
    <x v="3"/>
    <s v="LP-ODIAZ"/>
    <s v="HP"/>
    <s v="240 G9"/>
    <s v="5CG3104LKF"/>
    <s v="I5"/>
    <s v="1235U "/>
    <m/>
    <n v="8"/>
    <s v="512 SSD"/>
    <s v="14&quot;"/>
    <s v="W11 PRO"/>
    <s v="MICROSOFT 365 EMPRESA BÁSICO"/>
    <s v="TPN-CA14"/>
    <s v="WHGRE0C3GHLFSG"/>
    <d v="2023-12-01T00:00:00"/>
    <d v="2025-06-11T00:00:00"/>
    <x v="14"/>
  </r>
  <r>
    <n v="120"/>
    <s v="3361111-268"/>
    <x v="103"/>
    <s v="-"/>
    <x v="0"/>
    <x v="13"/>
    <s v="LP-PAGARCIA"/>
    <s v="LENOVO"/>
    <s v="THINKPAD E16 GEN2"/>
    <s v="PF5CQQQS"/>
    <s v="ULTRA 7"/>
    <s v="155H"/>
    <m/>
    <n v="16"/>
    <s v="1 TB SSD"/>
    <s v="16&quot;"/>
    <s v="W11 PRO"/>
    <s v="MICROSOFT 365 EMPRESA ESTÁNDAR"/>
    <s v="ADLX65YAC2E"/>
    <s v="8SGX21J75553A1WH49L0595"/>
    <d v="2025-05-06T00:00:00"/>
    <d v="2025-04-24T00:00:00"/>
    <x v="39"/>
  </r>
  <r>
    <n v="121"/>
    <s v="3361111-248"/>
    <x v="104"/>
    <s v="-"/>
    <x v="0"/>
    <x v="10"/>
    <s v="LP-PSAAVEDRA"/>
    <s v="HP"/>
    <s v="PROBOOK 440 G10"/>
    <s v="5CD4298SF1"/>
    <s v="I5"/>
    <s v="1335U"/>
    <m/>
    <n v="16"/>
    <s v="512 SSD"/>
    <s v="14&quot;"/>
    <s v="W11 PRO"/>
    <s v="MICROSOFT 365 EMPRESA ESTÁNDAR"/>
    <s v="TPN-LA15"/>
    <s v="WHHRE0A4LJL60W"/>
    <d v="2025-01-02T00:00:00"/>
    <d v="2025-01-29T00:00:00"/>
    <x v="11"/>
  </r>
  <r>
    <n v="122"/>
    <s v="3361111-180"/>
    <x v="105"/>
    <s v="-"/>
    <x v="0"/>
    <x v="3"/>
    <s v="LP-PPAYVA"/>
    <s v="HP"/>
    <s v="240 G8"/>
    <s v="5CG1413TSW"/>
    <s v="I3"/>
    <s v="1005G1"/>
    <m/>
    <n v="8"/>
    <s v="512 SSD"/>
    <s v="14&quot;"/>
    <s v="W11 PRO"/>
    <s v="MICROSOFT 365 EMPRESA BÁSICO"/>
    <s v="TPN-CA14"/>
    <s v="WHGRE0CZKFK4090C"/>
    <d v="2023-07-04T00:00:00"/>
    <d v="2025-06-17T00:00:00"/>
    <x v="16"/>
  </r>
  <r>
    <n v="123"/>
    <s v="3361111-279"/>
    <x v="106"/>
    <s v="-"/>
    <x v="0"/>
    <x v="2"/>
    <s v="LP-PBRAVO"/>
    <s v="LENOVO"/>
    <s v="THINKPAD T16 GEN 3"/>
    <s v="PF5CFDT8"/>
    <s v="ULTRA 7"/>
    <s v="155U"/>
    <m/>
    <n v="32"/>
    <s v="1 TB SSD"/>
    <s v="16&quot;"/>
    <s v="W11 PRO"/>
    <s v="MICROSOFT 365 EMPRESA ESTÁNDAR"/>
    <s v="ADLX65YAC2D"/>
    <s v="8SSA10R16962A1WH49K02JB"/>
    <d v="2025-09-15T00:00:00"/>
    <d v="2025-09-16T00:00:00"/>
    <x v="21"/>
  </r>
  <r>
    <n v="124"/>
    <s v="3361111-214"/>
    <x v="107"/>
    <s v="-"/>
    <x v="0"/>
    <x v="13"/>
    <s v="LP-RANYOSA"/>
    <s v="HP"/>
    <s v="250 G10"/>
    <s v="1H840810D3"/>
    <s v="I7"/>
    <s v="1355U"/>
    <m/>
    <n v="16"/>
    <s v="512 SSD"/>
    <s v="15.6&quot;"/>
    <s v="W11 PRO"/>
    <s v="MICROSOFT 365 EMPRESA ESTÁNDAR"/>
    <s v="TPN-CA14"/>
    <s v="WHGRE0ENJITF9M"/>
    <d v="2024-05-15T00:00:00"/>
    <d v="2024-05-20T00:00:00"/>
    <x v="8"/>
  </r>
  <r>
    <n v="125"/>
    <s v="3361111-285"/>
    <x v="108"/>
    <s v="-"/>
    <x v="0"/>
    <x v="1"/>
    <s v="LP-RCACERES"/>
    <s v="LENOVO"/>
    <s v="THINKPAD E16 GEN 3"/>
    <s v="PF5MGCW5"/>
    <s v="ULTRA 5"/>
    <s v="225U"/>
    <m/>
    <n v="16"/>
    <s v="1 TB SSD"/>
    <s v="16&quot;"/>
    <s v="W11 PRO"/>
    <s v="MICROSOFT 365 EMPRESA ESTÁNDAR"/>
    <s v="ADLX65YDC2E"/>
    <s v="8SGX21J75551L1CZ56E0BK3"/>
    <d v="2026-02-02T00:00:00"/>
    <d v="2026-02-12T00:00:00"/>
    <x v="28"/>
  </r>
  <r>
    <n v="126"/>
    <s v="3361111-208"/>
    <x v="109"/>
    <s v="-"/>
    <x v="0"/>
    <x v="3"/>
    <s v="LP-RHUAMAN"/>
    <s v="HP"/>
    <s v="240 G9"/>
    <s v="5CG31050YN"/>
    <s v="I5"/>
    <s v="1235U"/>
    <m/>
    <n v="8"/>
    <s v="512 SSD"/>
    <s v="14&quot;"/>
    <s v="W11 PRO"/>
    <s v="MICROSOFT 365 EMPRESA BÁSICO"/>
    <s v="TPN-LA15"/>
    <s v="WHHRE0A1RHHMRF"/>
    <d v="2023-12-26T00:00:00"/>
    <d v="2024-01-26T00:00:00"/>
    <x v="18"/>
  </r>
  <r>
    <n v="127"/>
    <s v="3361111-258"/>
    <x v="110"/>
    <s v="-"/>
    <x v="0"/>
    <x v="5"/>
    <s v="LP-RNURENA"/>
    <s v="HP"/>
    <s v="PROBOOK 460 G11"/>
    <s v="1H84460LM7"/>
    <s v="ULTRA 7"/>
    <s v="155U"/>
    <m/>
    <n v="16"/>
    <s v="1 TB SSD"/>
    <s v="16&quot;"/>
    <s v="W11 PRO"/>
    <s v="MICROSOFT 365 EMPRESA ESTÁNDAR"/>
    <s v="TPN-LA19"/>
    <s v="WHRRF0A1RJ845M"/>
    <d v="2025-03-10T00:00:00"/>
    <d v="2025-03-19T00:00:00"/>
    <x v="7"/>
  </r>
  <r>
    <n v="128"/>
    <s v="3361111-193"/>
    <x v="111"/>
    <s v="-"/>
    <x v="0"/>
    <x v="3"/>
    <s v="LP-RINFANTES"/>
    <s v="HP"/>
    <s v="240 G9"/>
    <s v="5CG3104QD8"/>
    <s v="I5"/>
    <s v="1235U"/>
    <m/>
    <n v="8"/>
    <s v="512 SSD"/>
    <s v="14&quot;"/>
    <s v="W11 PRO"/>
    <s v="MICROSOFT 365 EMPRESA BÁSICO"/>
    <s v="TPN-CA14"/>
    <s v="WHGRE0C3GHLFU60C"/>
    <d v="2023-12-01T00:00:00"/>
    <d v="2025-09-10T00:00:00"/>
    <x v="14"/>
  </r>
  <r>
    <n v="129"/>
    <s v="3361111-096"/>
    <x v="112"/>
    <s v="-"/>
    <x v="0"/>
    <x v="16"/>
    <s v="LP-RSALAZAR"/>
    <s v="HP"/>
    <s v="250 G7"/>
    <s v="CND0284RMX"/>
    <s v="I5"/>
    <s v="1035G1 "/>
    <m/>
    <n v="12"/>
    <s v="512 SSD"/>
    <s v="15.6&quot;"/>
    <s v="W11 PRO"/>
    <s v="MICROSOFT 365 EMPRESA ESTÁNDAR"/>
    <s v="TPN-LA16"/>
    <s v="WHHRF0A1RDSBT8"/>
    <d v="2020-09-04T00:00:00"/>
    <d v="2020-09-09T00:00:00"/>
    <x v="27"/>
  </r>
  <r>
    <n v="130"/>
    <s v="3361111-235"/>
    <x v="113"/>
    <s v="-"/>
    <x v="0"/>
    <x v="3"/>
    <s v="LP-RCHUMBES"/>
    <s v="HP"/>
    <s v="240 G10"/>
    <s v="5CG32841VQ"/>
    <s v="I7"/>
    <s v="1355U "/>
    <m/>
    <n v="16"/>
    <s v="512 SSD"/>
    <s v="14&quot;"/>
    <s v="W11 PRO"/>
    <s v="MICROSOFT 365 EMPRESA BÁSICO"/>
    <s v="TPN-DA16"/>
    <s v="WHHWK0CARI5UGP"/>
    <d v="2024-11-08T00:00:00"/>
    <d v="2024-12-18T00:00:00"/>
    <x v="5"/>
  </r>
  <r>
    <n v="131"/>
    <s v="3361111-171"/>
    <x v="114"/>
    <s v="-"/>
    <x v="0"/>
    <x v="3"/>
    <s v="LP-RRUIZ"/>
    <s v="HP"/>
    <s v="14-DQ2510LA"/>
    <s v="5CD225BB8J"/>
    <s v="I3"/>
    <s v="1115G4"/>
    <m/>
    <n v="8"/>
    <s v="512 SSD"/>
    <s v="14&quot;"/>
    <s v="W11 PRO"/>
    <s v="MICROSOFT 365 EMPRESA BÁSICO"/>
    <s v="TPN-CA14"/>
    <s v="WHGRE0CGCGFBST"/>
    <d v="2023-04-24T00:00:00"/>
    <d v="2025-05-15T00:00:00"/>
    <x v="17"/>
  </r>
  <r>
    <n v="132"/>
    <s v="3361111-109"/>
    <x v="115"/>
    <s v="-"/>
    <x v="0"/>
    <x v="0"/>
    <s v="LP-RCARBAJAL"/>
    <s v="DELL"/>
    <s v="VOSTRO 3400"/>
    <s v="1T3ZVC3"/>
    <s v="I5"/>
    <s v="1135G7 "/>
    <m/>
    <n v="8"/>
    <s v="480 SSD"/>
    <s v="14&quot;"/>
    <s v="W11 PRO"/>
    <s v="MICROSOFT 365 EMPRESA ESTÁNDAR"/>
    <s v="DA45NM140"/>
    <s v="CN-0YTFJC-DES00-0CT-HHCU-A08"/>
    <d v="2021-05-14T00:00:00"/>
    <d v="2023-11-17T00:00:00"/>
    <x v="40"/>
  </r>
  <r>
    <n v="133"/>
    <s v="."/>
    <x v="115"/>
    <s v="-"/>
    <x v="1"/>
    <x v="0"/>
    <s v="PC-RCARBJAL"/>
    <s v="HP"/>
    <s v="PRODESK 400 G9 SFF"/>
    <s v="4CE252B9MG"/>
    <s v="I5"/>
    <n v="12500"/>
    <m/>
    <n v="16"/>
    <s v="512 SSD"/>
    <s v="-"/>
    <s v="W11 PRO"/>
    <s v="MICROSOFT 365 EMPRESA ESTÁNDAR"/>
    <s v="-"/>
    <s v="-"/>
    <s v="-"/>
    <s v="-"/>
    <x v="1"/>
  </r>
  <r>
    <n v="134"/>
    <s v="3361111-131"/>
    <x v="116"/>
    <s v="-"/>
    <x v="0"/>
    <x v="13"/>
    <s v="LP-RPILLACA"/>
    <s v="HP"/>
    <s v="PROBOOK 450 G8"/>
    <s v="5CD143GP4W"/>
    <s v="I7"/>
    <s v="1165G7"/>
    <m/>
    <n v="32"/>
    <s v="1 TB SSD"/>
    <s v="15.6&quot;"/>
    <s v="W11 PRO"/>
    <s v="MICROSOFT 365 EMPRESA ESTÁNDAR"/>
    <s v="TPN-CA14"/>
    <s v="WHGRE0CRLFTTM8"/>
    <d v="2022-03-10T00:00:00"/>
    <d v="2025-10-13T00:00:00"/>
    <x v="41"/>
  </r>
  <r>
    <n v="135"/>
    <s v="3361111-273"/>
    <x v="117"/>
    <s v="-"/>
    <x v="0"/>
    <x v="3"/>
    <s v="LP-SSOTO"/>
    <s v="HP"/>
    <s v="PROBOOK 440 G11"/>
    <s v="5CD5143GNR"/>
    <s v="ULTRA 5"/>
    <s v="125U"/>
    <m/>
    <n v="16"/>
    <s v="512 SSD"/>
    <s v="14&quot;"/>
    <s v="W11 PRO"/>
    <s v="MICROSOFT 365 EMPRESA ESTÁNDAR"/>
    <s v="TPN-AA07"/>
    <s v="WHRRK0IGMKI75X"/>
    <d v="2025-05-29T00:00:00"/>
    <d v="2025-06-02T00:00:00"/>
    <x v="25"/>
  </r>
  <r>
    <n v="136"/>
    <s v="3361111-241"/>
    <x v="118"/>
    <s v="-"/>
    <x v="0"/>
    <x v="3"/>
    <s v="LP-SJOAQUIN"/>
    <s v="HP"/>
    <s v="PROBOOK 440 G10"/>
    <s v="5CD4298S95"/>
    <s v="I5"/>
    <s v="1335U"/>
    <m/>
    <n v="16"/>
    <s v="512 SSD"/>
    <s v="14&quot;"/>
    <s v="W11 PRO"/>
    <s v="MICROSOFT 365 EMPRESA BÁSICO"/>
    <s v="TPN-LA15"/>
    <s v="WHHRE0A4LJL5VC"/>
    <d v="2025-01-02T00:00:00"/>
    <d v="2025-04-01T00:00:00"/>
    <x v="11"/>
  </r>
  <r>
    <n v="137"/>
    <s v="3361111-088"/>
    <x v="119"/>
    <s v="-"/>
    <x v="0"/>
    <x v="1"/>
    <s v="LP-ESCANEADOREFAX"/>
    <s v="LENOVO"/>
    <s v="V330-15IKB"/>
    <s v="R90SFDFJ"/>
    <s v="I7"/>
    <s v="8550U "/>
    <m/>
    <n v="20"/>
    <s v="1 TB SSD"/>
    <s v="15.6&quot;"/>
    <s v="W11 PRO"/>
    <s v="MICROSOFT 365 EMPRESA ESTÁNDAR"/>
    <s v="ADLX90NLC3A"/>
    <s v="11S36200296ZZ1002J8Z0L"/>
    <d v="2019-04-17T00:00:00"/>
    <d v="2026-04-09T00:00:00"/>
    <x v="42"/>
  </r>
  <r>
    <n v="138"/>
    <s v="3361111-250"/>
    <x v="120"/>
    <s v="-"/>
    <x v="0"/>
    <x v="3"/>
    <s v="LP-SCHOQUE"/>
    <s v="HP"/>
    <s v="PROBOOK 440 G10"/>
    <s v="5CD4298S5T"/>
    <s v="I5"/>
    <s v="1335U"/>
    <m/>
    <n v="16"/>
    <s v="512 SSD"/>
    <s v="14&quot;"/>
    <s v="W11 PRO"/>
    <s v="MICROSOFT 365 EMPRESA ESTÁNDAR"/>
    <s v="TPN-LA15"/>
    <s v="WHHRE0A3UJL2TL"/>
    <d v="2025-01-02T00:00:00"/>
    <d v="2025-01-30T00:00:00"/>
    <x v="11"/>
  </r>
  <r>
    <n v="139"/>
    <s v="3361111-204"/>
    <x v="121"/>
    <s v="-"/>
    <x v="0"/>
    <x v="10"/>
    <s v="LP-SREVOLLEDO"/>
    <s v="HP"/>
    <s v="240 G9"/>
    <s v="5CG31051VV"/>
    <s v="I5"/>
    <s v="1235U"/>
    <m/>
    <n v="8"/>
    <s v="512 SSD"/>
    <s v="14&quot;"/>
    <s v="W11 PRO"/>
    <s v="MICROSOFT 365 EMPRESA BÁSICO"/>
    <s v="HSTNN-LA40"/>
    <s v="WFTLC0A3U48G2K"/>
    <d v="2023-12-26T00:00:00"/>
    <d v="2025-04-07T00:00:00"/>
    <x v="18"/>
  </r>
  <r>
    <n v="140"/>
    <s v="3361111-201"/>
    <x v="122"/>
    <s v="-"/>
    <x v="0"/>
    <x v="3"/>
    <s v="LP-SHUAPAYA"/>
    <s v="HP"/>
    <s v="240 G9"/>
    <s v="5CG3104ZS8"/>
    <s v="I5"/>
    <s v="1235U"/>
    <m/>
    <n v="8"/>
    <s v="512 SSD"/>
    <s v="14&quot;"/>
    <s v="W11 PRO"/>
    <s v="MICROSOFT 365 EMPRESA BÁSICO"/>
    <s v="TPN-LA15"/>
    <s v="WHHRE0A3UHHIPM"/>
    <d v="2023-12-26T00:00:00"/>
    <d v="2024-01-19T00:00:00"/>
    <x v="18"/>
  </r>
  <r>
    <n v="141"/>
    <s v="3361111-251"/>
    <x v="123"/>
    <s v="-"/>
    <x v="0"/>
    <x v="3"/>
    <s v="LP-SOBREGON"/>
    <s v="HP"/>
    <s v="PROBOOK 440 G10"/>
    <s v="5CD4298SGF"/>
    <s v="I5"/>
    <s v="1335U"/>
    <m/>
    <n v="16"/>
    <s v="512 SSD"/>
    <s v="14&quot;"/>
    <s v="W11 PRO"/>
    <s v="MICROSOFT 365 EMPRESA BÁSICO"/>
    <s v="TPN-LA15"/>
    <s v="WHHRE0A4LJLN36"/>
    <d v="2025-01-02T00:00:00"/>
    <d v="2026-02-10T00:00:00"/>
    <x v="11"/>
  </r>
  <r>
    <n v="168"/>
    <s v="3361111-117"/>
    <x v="124"/>
    <s v="-"/>
    <x v="0"/>
    <x v="9"/>
    <s v="LP-PRUEBASTI"/>
    <s v="HP"/>
    <s v="PROBOOK 450 G7"/>
    <s v="5CD1178XFK"/>
    <s v="I7"/>
    <s v="10510U"/>
    <m/>
    <n v="16"/>
    <s v="1 TB SSD"/>
    <s v="15.6&quot;"/>
    <s v="W11 PRO"/>
    <s v="MICROSOFT 365 EMPRESA ESTÁNDAR"/>
    <s v="PPP009L"/>
    <s v="592C40CLLUAHVB"/>
    <d v="2021-08-13T00:00:00"/>
    <s v="-"/>
    <x v="43"/>
  </r>
  <r>
    <n v="142"/>
    <s v="3361111-237"/>
    <x v="125"/>
    <s v="-"/>
    <x v="0"/>
    <x v="3"/>
    <s v="LP-ULECCA"/>
    <s v="HP"/>
    <s v="250 G10"/>
    <s v="5CD421L0KS"/>
    <s v="I7"/>
    <s v="1355U"/>
    <m/>
    <n v="16"/>
    <s v="512 SSD"/>
    <s v="15.6&quot;"/>
    <s v="W11 PRO"/>
    <s v="MICROSOFT 365 EMPRESA ESTÁNDAR"/>
    <s v="TPN-CA14"/>
    <s v="WHGRE0EXPJHT5C0E"/>
    <d v="2024-11-08T00:00:00"/>
    <d v="2024-11-25T00:00:00"/>
    <x v="5"/>
  </r>
  <r>
    <n v="143"/>
    <s v="3361111-224"/>
    <x v="126"/>
    <s v="-"/>
    <x v="0"/>
    <x v="3"/>
    <s v="LP-VBECERRA"/>
    <s v="HP"/>
    <s v="240 G10"/>
    <s v="5CG4194NBD"/>
    <s v="I7"/>
    <s v="1355U"/>
    <m/>
    <n v="16"/>
    <s v="512 SSD"/>
    <s v="14&quot;"/>
    <s v="W11 PRO"/>
    <s v="MICROSOFT 365 EMPRESA BÁSICO"/>
    <s v="TPN-DA16"/>
    <s v="WHHWK0CDDJA9OV"/>
    <d v="2024-10-09T00:00:00"/>
    <d v="2024-10-21T00:00:00"/>
    <x v="5"/>
  </r>
  <r>
    <n v="168"/>
    <s v="3361111-290"/>
    <x v="127"/>
    <s v="-"/>
    <x v="0"/>
    <x v="1"/>
    <s v="LP-VRUELAS"/>
    <s v="LENOVO"/>
    <s v="THINKPAD L16 GEN 2"/>
    <s v="PW0LHSMT"/>
    <s v="ULTRA 5"/>
    <s v="225U"/>
    <s v="1.50 GHZ"/>
    <n v="16"/>
    <s v="1 TB SSD"/>
    <s v="16&quot;"/>
    <s v="W11 PRO"/>
    <s v="MICROSOFT 365 EMPRESA ESTÁNDAR"/>
    <s v="ADLX65YDC2E"/>
    <s v="8SGX21J75554D1SG58P1C2L"/>
    <s v="22/04/2026"/>
    <s v="27/04/2026"/>
    <x v="1"/>
  </r>
  <r>
    <n v="144"/>
    <s v="3361111-165"/>
    <x v="128"/>
    <s v="-"/>
    <x v="0"/>
    <x v="17"/>
    <s v="LP-VTORRES"/>
    <s v="LENOVO"/>
    <s v="THINKPAD E14 GEN 2"/>
    <s v="PF3WY6HL"/>
    <s v="I7"/>
    <s v="1165G7"/>
    <m/>
    <n v="16"/>
    <s v="512 SSD"/>
    <s v="14&quot;"/>
    <s v="W11 PRO"/>
    <s v="MICROSOFT 365 EMPRESA ESTÁNDAR"/>
    <s v="ADLX65YCC2D"/>
    <s v="8SSA10R16922C2TJ2410E7G"/>
    <d v="2022-12-21T00:00:00"/>
    <d v="2022-12-22T00:00:00"/>
    <x v="29"/>
  </r>
  <r>
    <n v="145"/>
    <s v="3361111-038"/>
    <x v="129"/>
    <s v="-"/>
    <x v="0"/>
    <x v="0"/>
    <s v="LP-VPINEDO"/>
    <s v="LENOVO"/>
    <s v="THINKPAD T470"/>
    <s v="PF0UL31R"/>
    <s v="I5"/>
    <s v="7200U "/>
    <m/>
    <n v="16"/>
    <s v="512 SSD"/>
    <s v="14&quot;"/>
    <s v="W11 PRO"/>
    <s v="MICROSOFT 365 EMPRESA ESTÁNDAR"/>
    <s v="ADLX65NCC3A"/>
    <s v="557C65DLMF7685"/>
    <d v="2017-04-27T00:00:00"/>
    <d v="2025-02-13T00:00:00"/>
    <x v="44"/>
  </r>
  <r>
    <n v="146"/>
    <s v="-"/>
    <x v="129"/>
    <s v="-"/>
    <x v="1"/>
    <x v="0"/>
    <s v="PC-VPINEDO"/>
    <s v="HP"/>
    <s v="PRODESK 400 G9 SFF"/>
    <s v="4CE229BYRS"/>
    <s v="I5"/>
    <n v="12500"/>
    <m/>
    <n v="16"/>
    <s v="512 SSD"/>
    <s v="-"/>
    <s v="W11 PRO"/>
    <s v="MICROSOFT 365 EMPRESA ESTÁNDAR"/>
    <s v="-"/>
    <s v="-"/>
    <s v="-"/>
    <s v="-"/>
    <x v="1"/>
  </r>
  <r>
    <n v="147"/>
    <s v="3361111-213"/>
    <x v="130"/>
    <s v="-"/>
    <x v="0"/>
    <x v="18"/>
    <s v="LP-WRUIZ"/>
    <s v="HP"/>
    <s v="ZBOOK FIREFLY G10"/>
    <s v="5CG348732H"/>
    <s v="I7"/>
    <s v="1355U"/>
    <m/>
    <n v="32"/>
    <s v="1 TB SSD"/>
    <s v="16&quot;"/>
    <s v="W11 PRO"/>
    <s v="MICROSOFT 365 EMPRESA ESTÁNDAR"/>
    <s v="TPN-DA20"/>
    <s v="WJEKH0CARIU870"/>
    <d v="2024-03-12T00:00:00"/>
    <d v="2024-03-13T00:00:00"/>
    <x v="45"/>
  </r>
  <r>
    <n v="148"/>
    <s v="3361111-284"/>
    <x v="131"/>
    <s v="-"/>
    <x v="0"/>
    <x v="1"/>
    <s v="LP-WMARTINEZ"/>
    <s v="LENOVO"/>
    <s v="THINKPAD E14 GEN 7"/>
    <s v="PF5RNE1V"/>
    <s v="ULTRA 5"/>
    <s v="225U"/>
    <m/>
    <n v="16"/>
    <s v="512 SSD"/>
    <s v="14&quot;"/>
    <s v="W11 PRO"/>
    <s v="MICROSOFT 365 EMPRESA ESTÁNDAR"/>
    <s v="ADLX65YDC2E"/>
    <s v="8SGX21J75554D1SG57M0JCE"/>
    <d v="2026-02-02T00:00:00"/>
    <d v="2026-02-10T00:00:00"/>
    <x v="28"/>
  </r>
  <r>
    <n v="149"/>
    <s v="-"/>
    <x v="131"/>
    <s v="-"/>
    <x v="1"/>
    <x v="1"/>
    <s v="PC-INDICADORES"/>
    <s v="FUJITSU"/>
    <s v="ESPRIMO D556/2/E85+"/>
    <s v="YMEB033704"/>
    <s v="I7"/>
    <n v="7700"/>
    <m/>
    <n v="8"/>
    <s v="1 TB SSD"/>
    <s v="-"/>
    <s v="W11 PRO"/>
    <s v="-"/>
    <s v="-"/>
    <s v="-"/>
    <s v="-"/>
    <s v="-"/>
    <x v="1"/>
  </r>
  <r>
    <n v="150"/>
    <s v="3361111-081"/>
    <x v="132"/>
    <s v="-"/>
    <x v="0"/>
    <x v="3"/>
    <s v="LP-WVASQUEZ"/>
    <s v="LENOVO"/>
    <s v="THINKPAD L480"/>
    <s v="PF1937NR"/>
    <s v="I5"/>
    <s v="8250U"/>
    <m/>
    <n v="12"/>
    <s v="512 SSD"/>
    <s v="14&quot;"/>
    <s v="W11 PRO"/>
    <s v="MICROSOFT 365 EMPRESA ESTÁNDAR"/>
    <s v="ADLX65YLC2A"/>
    <s v="8SSA10M13948L1CZ8530G1H"/>
    <d v="2019-03-07T00:00:00"/>
    <d v="2025-10-20T00:00:00"/>
    <x v="46"/>
  </r>
  <r>
    <n v="151"/>
    <s v="3361111-194"/>
    <x v="133"/>
    <s v="-"/>
    <x v="0"/>
    <x v="10"/>
    <s v="LP-YMARIN"/>
    <s v="HP"/>
    <s v="240 G9"/>
    <s v="5CG3104Q11"/>
    <s v="I5"/>
    <s v="1235U"/>
    <m/>
    <n v="8"/>
    <s v="512 SSD"/>
    <s v="14&quot;"/>
    <s v="W11 PRO"/>
    <s v="MICROSOFT 365 EMPRESA BÁSICO"/>
    <s v="TPN-CA14"/>
    <s v="WHGRE0CNJHLXM7"/>
    <d v="2023-12-01T00:00:00"/>
    <d v="2025-08-18T00:00:00"/>
    <x v="14"/>
  </r>
  <r>
    <n v="152"/>
    <s v="3361111-229"/>
    <x v="134"/>
    <s v="-"/>
    <x v="0"/>
    <x v="3"/>
    <s v="LP-YDELGADO"/>
    <s v="HP"/>
    <s v="240 G10"/>
    <s v="5CG4194N9Y"/>
    <s v="I7"/>
    <s v="1355U "/>
    <m/>
    <n v="16"/>
    <s v="512 SSD"/>
    <s v="14&quot;"/>
    <s v="W11 PRO"/>
    <s v="MICROSOFT 365 EMPRESA BÁSICO"/>
    <s v="TPN-DA16"/>
    <s v="WHHWK0CCXJAAOI"/>
    <d v="2024-10-09T00:00:00"/>
    <d v="2024-12-18T00:00:00"/>
    <x v="5"/>
  </r>
  <r>
    <n v="100"/>
    <s v="3361111-170"/>
    <x v="135"/>
    <s v="MARIA MORI"/>
    <x v="0"/>
    <x v="3"/>
    <s v="LP-MMORI"/>
    <s v="HP"/>
    <s v="14-DQ2510LA"/>
    <s v="5CD225BBDB"/>
    <s v="I3"/>
    <s v="1115G4"/>
    <m/>
    <n v="8"/>
    <s v="512 SSD"/>
    <s v="14&quot;"/>
    <s v="W11 PRO"/>
    <s v="MICROSOFT 365 EMPRESA BÁSICO"/>
    <s v="TPN-CA14"/>
    <s v="WHGRE0C3GGN0QB"/>
    <d v="2023-03-31T00:00:00"/>
    <d v="2025-06-05T00:00:00"/>
    <x v="31"/>
  </r>
  <r>
    <n v="45"/>
    <s v="3361111-163"/>
    <x v="135"/>
    <s v="FELIX YACTAYO"/>
    <x v="0"/>
    <x v="8"/>
    <s v="LP-FYACTAYO"/>
    <s v="LENOVO"/>
    <s v="THINKPAD E14 GEN 2"/>
    <s v="PF3X3XR5"/>
    <s v="I7"/>
    <s v="1165G7"/>
    <m/>
    <n v="16"/>
    <s v="512 SSD"/>
    <s v="14&quot;"/>
    <s v="W11 PRO"/>
    <s v="MICROSOFT 365 EMPRESA ESTÁNDAR"/>
    <s v="ADLX65YCC2D"/>
    <s v="8SSA10R16922C2TJ2410SDA"/>
    <d v="2022-11-17T00:00:00"/>
    <d v="2025-12-01T00:00:00"/>
    <x v="47"/>
  </r>
  <r>
    <n v="7"/>
    <s v="3361111-152"/>
    <x v="135"/>
    <s v="ANAIS ALBURQUEQUE"/>
    <x v="0"/>
    <x v="4"/>
    <s v="LP-AALBURQUEQUE2"/>
    <s v="LENOVO"/>
    <s v="THINKPAD E15 GEN 2"/>
    <s v="PF3WN5Q1"/>
    <s v="I7"/>
    <s v="1165G7"/>
    <m/>
    <n v="16"/>
    <s v="512 SSD"/>
    <s v="15.6&quot;"/>
    <s v="W11 PRO"/>
    <s v="MICROSOFT 365 EMPRESA ESTÁNDAR"/>
    <s v="ADLX65YLC2D"/>
    <s v="8SSA10R16873L1CZ24B0KWG"/>
    <d v="2022-10-06T00:00:00"/>
    <d v="2022-10-18T00:00:00"/>
    <x v="48"/>
  </r>
  <r>
    <n v="49"/>
    <s v="3361111-038"/>
    <x v="135"/>
    <s v="GHEREL TOCAS"/>
    <x v="0"/>
    <x v="9"/>
    <s v="LP-GTOCAS2"/>
    <s v="HP"/>
    <s v="15-AX002LA"/>
    <s v="5CD7051SR5"/>
    <s v="I7"/>
    <s v="6700HQ "/>
    <m/>
    <n v="16"/>
    <s v="1 TB SSD"/>
    <s v="15.6&quot;"/>
    <s v="W11 PRO"/>
    <s v="MICROSOFT 365 EMPRESA ESTÁNDAR"/>
    <s v="HSTNN-DA25"/>
    <s v="WDRLD0DAR540SG"/>
    <d v="2017-04-27T00:00:00"/>
    <s v="-"/>
    <x v="44"/>
  </r>
  <r>
    <n v="50"/>
    <s v="3361111-265"/>
    <x v="135"/>
    <s v="GHEREL TOCAS"/>
    <x v="0"/>
    <x v="9"/>
    <s v="LP-GTOCAS"/>
    <s v="HP"/>
    <s v="ELITEBOOK 660 G11"/>
    <s v="1H844628PT"/>
    <s v="ULTRA 7"/>
    <s v="155U"/>
    <m/>
    <n v="32"/>
    <s v="1 TB SSD"/>
    <s v="16&quot;"/>
    <s v="W11 PRO"/>
    <s v="MICROSOFT 365 EMPRESA ESTÁNDAR"/>
    <s v="TPN-DA20"/>
    <s v="WJEKH0CCXJT0EO"/>
    <d v="2025-05-07T00:00:00"/>
    <d v="2025-05-05T00:00:00"/>
    <x v="39"/>
  </r>
  <r>
    <n v="61"/>
    <s v="3361111-116"/>
    <x v="135"/>
    <s v="JACQUELYN ESTRADA"/>
    <x v="0"/>
    <x v="7"/>
    <s v="LP-JESTRADA"/>
    <s v="HP"/>
    <s v="PROBOOK 450 G7"/>
    <s v="5CD1178WVS"/>
    <s v="I7"/>
    <s v="10510U "/>
    <m/>
    <n v="32"/>
    <s v="1 TB SSD"/>
    <s v="15.6&quot;"/>
    <s v="W11 PRO"/>
    <s v="MICROSOFT 365 EMPRESA ESTÁNDAR"/>
    <s v="HSTNN-LA40"/>
    <s v="WDUUV0B4L9YGLL"/>
    <d v="2021-08-05T00:00:00"/>
    <d v="2025-04-09T00:00:00"/>
    <x v="2"/>
  </r>
  <r>
    <n v="158"/>
    <s v="3361111-127"/>
    <x v="135"/>
    <s v="DANARI DE LA PUENTE"/>
    <x v="0"/>
    <x v="3"/>
    <s v="LP-DDELAPUENTE"/>
    <s v="HP"/>
    <s v="348 G7"/>
    <s v="5CG1167ZWM"/>
    <s v="I3"/>
    <s v="10110U"/>
    <m/>
    <n v="16"/>
    <s v="512 SSD"/>
    <s v="14&quot;"/>
    <s v="W11 PRO"/>
    <s v="MICROSOFT 365 EMPRESA ESTÁNDAR"/>
    <s v="TPN-CA16"/>
    <s v="WHGRH0CGCF06B5"/>
    <d v="2022-01-29T00:00:00"/>
    <d v="2025-11-10T00:00:00"/>
    <x v="3"/>
  </r>
  <r>
    <n v="159"/>
    <s v="3361111-087"/>
    <x v="135"/>
    <s v="DEVOLUCIONES 2"/>
    <x v="0"/>
    <x v="1"/>
    <s v="LP-DEVOLUCIONES2"/>
    <s v="LENOVO"/>
    <s v="IDEAPAD 330S-15IKB"/>
    <s v="YD054R30"/>
    <s v="I7"/>
    <s v="8550U "/>
    <m/>
    <n v="12"/>
    <s v="512 SSD"/>
    <s v="15.6&quot;"/>
    <s v="W11 PRO"/>
    <s v="MICROSOFT 365 EMPRESA ESTÁNDAR"/>
    <s v="ADLX65NCT3A"/>
    <s v="11S45N0245Z1ZSH2CLM18"/>
    <d v="2019-05-28T00:00:00"/>
    <d v="2025-04-22T00:00:00"/>
    <x v="0"/>
  </r>
  <r>
    <n v="160"/>
    <s v="3361111-106"/>
    <x v="135"/>
    <s v="FELIX YACTAYO"/>
    <x v="0"/>
    <x v="8"/>
    <s v="LP-FYACTAYO2"/>
    <s v="LENOVO"/>
    <s v="THINKPAD E15"/>
    <s v="PF2LZHA5"/>
    <s v="I7"/>
    <s v="10510U "/>
    <m/>
    <n v="16"/>
    <s v="1 TB SSD"/>
    <s v="15.6&quot;"/>
    <s v="W11 PRO"/>
    <s v="MICROSOFT 365 EMPRESA ESTÁNDAR"/>
    <s v="ADLX65YLC2D"/>
    <s v="8SSA10R16873L1CZ0CA2A9J"/>
    <d v="2021-04-30T00:00:00"/>
    <d v="2025-10-27T00:00:00"/>
    <x v="49"/>
  </r>
  <r>
    <n v="161"/>
    <s v="3361111-176"/>
    <x v="135"/>
    <s v="INGRID HERRERA"/>
    <x v="0"/>
    <x v="10"/>
    <s v="LP-IHERRERA"/>
    <s v="LENOVO"/>
    <s v="THINKPAD E14 GEN 4"/>
    <s v="PF49844K"/>
    <s v="I5"/>
    <s v="1235U"/>
    <m/>
    <n v="24"/>
    <s v="512 SSD"/>
    <s v="14&quot;"/>
    <s v="W11 PRO"/>
    <s v="MICROSOFT 365 EMPRESA ESTÁNDAR"/>
    <s v="ADLX65YCC2D"/>
    <s v="8SSA10R16922C2TJ28N0LLK"/>
    <d v="2023-05-05T00:00:00"/>
    <d v="2025-01-21T00:00:00"/>
    <x v="17"/>
  </r>
  <r>
    <n v="162"/>
    <s v="3361111-120"/>
    <x v="135"/>
    <s v="JERRY SATALAYA"/>
    <x v="0"/>
    <x v="3"/>
    <s v="LP-JSATALAYA"/>
    <s v="HP"/>
    <s v="348 G7"/>
    <s v="5CG125BSS4"/>
    <s v="I7"/>
    <s v="10510U"/>
    <m/>
    <n v="16"/>
    <s v="512 SSD"/>
    <s v="14&quot;"/>
    <s v="W11 PRO"/>
    <s v="MICROSOFT 365 EMPRESA ESTÁNDAR"/>
    <s v="TPN-LA16"/>
    <s v="WHHRF0A3UF4C21"/>
    <d v="2021-10-29T00:00:00"/>
    <d v="2025-08-11T00:00:00"/>
    <x v="20"/>
  </r>
  <r>
    <n v="163"/>
    <s v="-"/>
    <x v="135"/>
    <s v="JUNIOR VALENCIA"/>
    <x v="1"/>
    <x v="1"/>
    <s v="PC-JVALENCIA"/>
    <s v="HP"/>
    <s v="ELITEDESK 800 G3 SFF"/>
    <s v="MXL7281TFK"/>
    <s v="I7"/>
    <n v="6700"/>
    <m/>
    <n v="16"/>
    <s v="512 SSD"/>
    <s v="-"/>
    <s v="W11 PRO"/>
    <s v="MICROSOFT 365 EMPRESA ESTÁNDAR"/>
    <s v="-"/>
    <s v="-"/>
    <s v="-"/>
    <d v="2025-04-07T00:00:00"/>
    <x v="1"/>
  </r>
  <r>
    <n v="164"/>
    <s v="3361111-076"/>
    <x v="135"/>
    <s v="RT BODEGA"/>
    <x v="0"/>
    <x v="1"/>
    <s v="LP-RTBODEGA2"/>
    <s v="HP"/>
    <s v="PROBOOK 450 G5"/>
    <s v="5CD90163XM"/>
    <s v="I7"/>
    <s v="8550U"/>
    <m/>
    <n v="16"/>
    <s v="512 SSD"/>
    <s v="15.6&quot;"/>
    <s v="W11 PRO"/>
    <s v="MICROSOFT 365 EMPRESA ESTÁNDAR"/>
    <s v="PPP009D"/>
    <s v="LA0723032302AD12171"/>
    <d v="2018-08-28T00:00:00"/>
    <d v="2025-09-17T00:00:00"/>
    <x v="50"/>
  </r>
  <r>
    <n v="165"/>
    <s v="3227111-001"/>
    <x v="135"/>
    <s v="SANDRA JUAREZ"/>
    <x v="0"/>
    <x v="0"/>
    <s v="LP-SJUAREZ"/>
    <s v="HP"/>
    <s v="240 G6"/>
    <s v="5CD733B7BS"/>
    <s v="I5"/>
    <s v="7020U"/>
    <m/>
    <n v="8"/>
    <s v="512 SSD"/>
    <s v="14&quot;"/>
    <s v="W10 PRO"/>
    <s v="MICROSOFT 365 EMPRESA BÁSICO"/>
    <s v="TPN-CA14"/>
    <s v="WHGRE0C3GGN0PZ"/>
    <d v="2019-05-28T00:00:00"/>
    <d v="2025-01-03T00:00:00"/>
    <x v="0"/>
  </r>
  <r>
    <n v="166"/>
    <s v="3361111-283"/>
    <x v="135"/>
    <s v="SUSANA BENITES"/>
    <x v="0"/>
    <x v="1"/>
    <s v="LP-SBENITES"/>
    <s v="LENOVO"/>
    <s v="THINKPAD E16 GEN 3"/>
    <s v="PF5YYEJJ"/>
    <s v="ULTRA 7"/>
    <s v="255H"/>
    <m/>
    <n v="16"/>
    <s v="1 TB SSD"/>
    <s v="16&quot;"/>
    <s v="W11 PRO"/>
    <s v="MICROSOFT 365 EMPRESA ESTÁNDAR"/>
    <s v="ADLX65YDC2E"/>
    <s v="8SGX21J75554D1SG5991C2W"/>
    <d v="2026-02-02T00:00:00"/>
    <d v="2026-02-10T00:00:00"/>
    <x v="28"/>
  </r>
  <r>
    <n v="167"/>
    <s v="3361111-228"/>
    <x v="135"/>
    <s v="SUSSAN OBREGON"/>
    <x v="0"/>
    <x v="3"/>
    <s v="LP-SOBREGON2"/>
    <s v="HP"/>
    <s v="240 G10"/>
    <s v="5CG4194NBF"/>
    <s v="I7"/>
    <s v="1355U "/>
    <m/>
    <n v="16"/>
    <s v="512 SSD"/>
    <s v="14&quot;"/>
    <s v="W11 PRO"/>
    <s v="MICROSOFT 365 EMPRESA BÁSICO"/>
    <s v="TPN-DA16"/>
    <s v="WHHWK0CDDJCDYE"/>
    <d v="2024-10-09T00:00:00"/>
    <d v="2025-02-21T00:00:00"/>
    <x v="5"/>
  </r>
  <r>
    <n v="169"/>
    <s v="3361111-292"/>
    <x v="135"/>
    <s v="LAPTOP NUEVA"/>
    <x v="0"/>
    <x v="3"/>
    <s v="-"/>
    <s v="LENOVO"/>
    <s v="THINKPAD L16 GEN 2"/>
    <s v="PW0LHSM7"/>
    <s v="ULTRA 5"/>
    <s v="225U"/>
    <s v="1.50 GHZ"/>
    <n v="16"/>
    <s v="1 TB SSD"/>
    <s v="16&quot;"/>
    <s v="W11 PRO"/>
    <s v="MICROSOFT 365 EMPRESA ESTÁNDAR"/>
    <m/>
    <m/>
    <s v="22/04/2026"/>
    <m/>
    <x v="1"/>
  </r>
  <r>
    <n v="170"/>
    <s v="3361111-293"/>
    <x v="135"/>
    <s v="LAPTOP NUEVA"/>
    <x v="0"/>
    <x v="3"/>
    <s v="-"/>
    <s v="LENOVO"/>
    <s v="THINKPAD L16 GEN 2"/>
    <s v="PW0LHSLM"/>
    <s v="ULTRA 5"/>
    <s v="225U"/>
    <s v="1.50 GHZ"/>
    <n v="16"/>
    <s v="1 TB SSD"/>
    <s v="16&quot;"/>
    <s v="W11 PRO"/>
    <s v="MICROSOFT 365 EMPRESA ESTÁNDAR"/>
    <m/>
    <m/>
    <s v="22/04/2026"/>
    <m/>
    <x v="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n v="1"/>
    <x v="0"/>
    <s v="-"/>
    <x v="0"/>
    <x v="0"/>
    <n v="965722676"/>
    <s v="SAMSUNG"/>
    <s v="GALAXY A32"/>
    <n v="356263315570071"/>
    <s v="RF8R704EJ1Z"/>
    <s v="128 GB"/>
    <s v="JOCO"/>
    <s v="CS13"/>
    <s v="N-24C"/>
    <d v="2023-01-20T00:00:00"/>
    <d v="2025-09-02T00:00:00"/>
    <x v="0"/>
    <s v="CLARO"/>
    <s v="MAX NEGOCIOS + 55.90"/>
    <s v="NO"/>
    <s v="NO"/>
  </r>
  <r>
    <n v="2"/>
    <x v="1"/>
    <s v="-"/>
    <x v="0"/>
    <x v="1"/>
    <n v="963764388"/>
    <s v="SAMSUNG"/>
    <s v="GALAXY A31"/>
    <n v="358785932293289"/>
    <s v="R58NB4ERDVP"/>
    <m/>
    <m/>
    <m/>
    <m/>
    <d v="2025-01-16T00:00:00"/>
    <d v="2025-05-29T00:00:00"/>
    <x v="1"/>
    <s v="CLARO"/>
    <s v="MAX NEGOCIOS + 55.90"/>
    <s v="NO"/>
    <s v="NO"/>
  </r>
  <r>
    <n v="3"/>
    <x v="2"/>
    <s v="-"/>
    <x v="0"/>
    <x v="2"/>
    <n v="973181623"/>
    <s v="SAMSUNG"/>
    <s v="GALAXY A14"/>
    <n v="357494911535411"/>
    <s v="R5CW30EH0EM"/>
    <m/>
    <m/>
    <m/>
    <m/>
    <d v="2023-07-11T00:00:00"/>
    <d v="2024-04-05T00:00:00"/>
    <x v="2"/>
    <s v="CLARO"/>
    <s v="MAX NEGOCIOS + 55.90"/>
    <s v="NO"/>
    <s v="NO"/>
  </r>
  <r>
    <n v="4"/>
    <x v="3"/>
    <s v="-"/>
    <x v="0"/>
    <x v="2"/>
    <n v="938599654"/>
    <s v="SAMSUNG"/>
    <s v="GALAXY A14"/>
    <n v="357494911583742"/>
    <s v="R5CW30EMEWW"/>
    <s v="128 GB"/>
    <m/>
    <m/>
    <m/>
    <d v="2024-02-07T00:00:00"/>
    <d v="2025-06-02T00:00:00"/>
    <x v="3"/>
    <s v="CLARO"/>
    <s v="MAX NEGOCIOS + 55.90"/>
    <s v="NO"/>
    <s v="NO"/>
  </r>
  <r>
    <n v="5"/>
    <x v="4"/>
    <s v="-"/>
    <x v="0"/>
    <x v="3"/>
    <n v="905433805"/>
    <s v="SAMSUNG"/>
    <s v="GALAXY A15"/>
    <n v="351456832075765"/>
    <s v="RF8XA042RBB"/>
    <m/>
    <m/>
    <m/>
    <m/>
    <d v="2025-01-16T00:00:00"/>
    <d v="2025-10-16T00:00:00"/>
    <x v="1"/>
    <s v="CLARO"/>
    <s v="MAX NEGOCIOS + 55.90"/>
    <s v="SI"/>
    <s v="SI"/>
  </r>
  <r>
    <n v="6"/>
    <x v="5"/>
    <s v="-"/>
    <x v="0"/>
    <x v="4"/>
    <n v="977791785"/>
    <s v="SAMSUNG"/>
    <s v="GALAXY S22 ULTRA"/>
    <n v="351813190752858"/>
    <s v="R5CT409F3QL"/>
    <s v="128 GB"/>
    <m/>
    <m/>
    <m/>
    <s v="-"/>
    <d v="2025-12-31T00:00:00"/>
    <x v="4"/>
    <s v="CLARO"/>
    <s v="MAX NEGOCIOS + 55.90"/>
    <s v="NO"/>
    <s v="NO"/>
  </r>
  <r>
    <n v="7"/>
    <x v="6"/>
    <s v="-"/>
    <x v="0"/>
    <x v="5"/>
    <n v="955844240"/>
    <s v="SAMSUNG"/>
    <s v="GALAXY A15"/>
    <n v="351456832083074"/>
    <s v="RF8XA043EGF"/>
    <m/>
    <m/>
    <m/>
    <m/>
    <d v="2025-01-16T00:00:00"/>
    <d v="2025-03-19T00:00:00"/>
    <x v="1"/>
    <s v="CLARO"/>
    <s v="MAX NEGOCIOS + 55.90"/>
    <s v="NO"/>
    <s v="NO"/>
  </r>
  <r>
    <n v="8"/>
    <x v="7"/>
    <s v="-"/>
    <x v="0"/>
    <x v="6"/>
    <n v="944854253"/>
    <s v="APPLE"/>
    <s v="IPHONE 13 MINI"/>
    <n v="358082907802769"/>
    <s v="VV7H9JHHWC"/>
    <m/>
    <m/>
    <m/>
    <m/>
    <s v="-"/>
    <d v="2025-12-31T00:00:00"/>
    <x v="4"/>
    <s v="ENTEL"/>
    <s v="PLAN ENTEL - 109.90"/>
    <s v="NO"/>
    <s v="NO"/>
  </r>
  <r>
    <n v="9"/>
    <x v="8"/>
    <s v="-"/>
    <x v="0"/>
    <x v="7"/>
    <n v="975525656"/>
    <s v="SAMSUNG"/>
    <s v="GALAXY A34"/>
    <n v="356395970494773"/>
    <s v="RFCW60YZLXD"/>
    <m/>
    <m/>
    <m/>
    <m/>
    <d v="2023-12-28T00:00:00"/>
    <d v="2025-05-23T00:00:00"/>
    <x v="5"/>
    <s v="CLARO"/>
    <s v="MAX NEGOCIOS + ILIMITADO 69.90"/>
    <s v="NO"/>
    <s v="NO"/>
  </r>
  <r>
    <n v="10"/>
    <x v="9"/>
    <s v="-"/>
    <x v="0"/>
    <x v="8"/>
    <n v="905433809"/>
    <s v="SAMSUNG"/>
    <s v="GALAXY A16"/>
    <n v="356034165561746"/>
    <s v="RF8Y80D2A2Y"/>
    <m/>
    <m/>
    <m/>
    <m/>
    <d v="2025-11-05T00:00:00"/>
    <d v="2025-12-31T00:00:00"/>
    <x v="6"/>
    <s v="CLARO"/>
    <s v="MAX NEGOCIOS + 55.90"/>
    <s v="NO"/>
    <s v="NO"/>
  </r>
  <r>
    <n v="11"/>
    <x v="10"/>
    <s v="-"/>
    <x v="0"/>
    <x v="9"/>
    <n v="913738028"/>
    <s v="SAMSUNG"/>
    <s v="GALAXY A15"/>
    <n v="351456832061450"/>
    <s v="RF8XA041EZB"/>
    <s v="256 GB"/>
    <m/>
    <m/>
    <m/>
    <d v="2025-01-16T00:00:00"/>
    <d v="2025-03-03T00:00:00"/>
    <x v="1"/>
    <s v="CLARO"/>
    <s v="MAX NEGOCIOS + 55.90"/>
    <s v="NO"/>
    <s v="NO"/>
  </r>
  <r>
    <n v="12"/>
    <x v="11"/>
    <s v="-"/>
    <x v="0"/>
    <x v="3"/>
    <n v="961002290"/>
    <s v="SAMSUNG"/>
    <s v="GALAXY A24"/>
    <n v="356241324885565"/>
    <s v="RF8Y806QP1N"/>
    <m/>
    <m/>
    <m/>
    <m/>
    <d v="2024-01-10T00:00:00"/>
    <d v="2025-12-19T00:00:00"/>
    <x v="3"/>
    <s v="CLARO"/>
    <s v="MAX NEGOCIOS + 55.90"/>
    <s v="SI"/>
    <s v="SI"/>
  </r>
  <r>
    <n v="13"/>
    <x v="12"/>
    <s v="-"/>
    <x v="0"/>
    <x v="3"/>
    <n v="919280595"/>
    <s v="SAMSUNG"/>
    <s v="GALAXY A14"/>
    <n v="357494911548596"/>
    <s v="R5CW30EJ7CZ"/>
    <m/>
    <m/>
    <m/>
    <m/>
    <d v="2023-07-11T00:00:00"/>
    <d v="2024-08-28T00:00:00"/>
    <x v="2"/>
    <s v="CLARO"/>
    <s v="MAX NEGOCIOS + 55.90"/>
    <s v="SI"/>
    <s v="SI"/>
  </r>
  <r>
    <n v="14"/>
    <x v="13"/>
    <s v="-"/>
    <x v="0"/>
    <x v="2"/>
    <n v="905433789"/>
    <s v="SAMSUNG"/>
    <s v="GALAXY A14"/>
    <n v="357494913788083"/>
    <s v="R5CW81PDKZL"/>
    <m/>
    <m/>
    <m/>
    <m/>
    <d v="2024-02-07T00:00:00"/>
    <d v="2025-04-16T00:00:00"/>
    <x v="3"/>
    <s v="CLARO"/>
    <s v="MAX NEGOCIOS + 55.90"/>
    <s v="SI"/>
    <s v="SI"/>
  </r>
  <r>
    <n v="15"/>
    <x v="14"/>
    <s v="-"/>
    <x v="0"/>
    <x v="10"/>
    <n v="913733924"/>
    <s v="SAMSUNG"/>
    <s v="GALAXY A31"/>
    <n v="358785932278009"/>
    <s v="R58NB4EQ0JN"/>
    <m/>
    <m/>
    <m/>
    <m/>
    <d v="2024-01-10T00:00:00"/>
    <d v="2024-06-06T00:00:00"/>
    <x v="3"/>
    <s v="CLARO"/>
    <s v="MAX NEGOCIOS + 55.90"/>
    <s v="SI"/>
    <s v="SI"/>
  </r>
  <r>
    <n v="16"/>
    <x v="15"/>
    <s v="-"/>
    <x v="0"/>
    <x v="1"/>
    <n v="961436563"/>
    <s v="SAMSUNG"/>
    <s v="GALAXY A14"/>
    <n v="357494911584534"/>
    <s v="R5CW30EMH9D"/>
    <m/>
    <m/>
    <m/>
    <m/>
    <d v="2024-02-07T00:00:00"/>
    <d v="2025-02-06T00:00:00"/>
    <x v="3"/>
    <s v="CLARO"/>
    <s v="MAX NEGOCIOS + 55.90"/>
    <s v="SI"/>
    <s v="SI"/>
  </r>
  <r>
    <n v="17"/>
    <x v="16"/>
    <s v="-"/>
    <x v="0"/>
    <x v="9"/>
    <s v="LÍNEA PERSONAL"/>
    <s v="APPLE"/>
    <s v="IPHONE 15"/>
    <n v="353173584382319"/>
    <s v="DJY5FKG3JJ"/>
    <m/>
    <m/>
    <m/>
    <m/>
    <d v="2023-11-09T00:00:00"/>
    <d v="2023-11-15T00:00:00"/>
    <x v="7"/>
    <s v="CLARO"/>
    <s v="LÍNEA TELEFÓNICA PERSONAL"/>
    <s v="NO"/>
    <s v="NO"/>
  </r>
  <r>
    <n v="18"/>
    <x v="17"/>
    <s v="-"/>
    <x v="0"/>
    <x v="7"/>
    <n v="913737010"/>
    <s v="SAMSUNG"/>
    <s v="GALAXY A15"/>
    <n v="351456831091730"/>
    <s v="RF8X20CXRSX"/>
    <m/>
    <m/>
    <m/>
    <m/>
    <d v="2024-02-16T00:00:00"/>
    <d v="2024-06-03T00:00:00"/>
    <x v="8"/>
    <s v="CLARO"/>
    <s v="MAX NEGOCIOS + 55.90"/>
    <s v="NO"/>
    <s v="NO"/>
  </r>
  <r>
    <n v="19"/>
    <x v="18"/>
    <s v="-"/>
    <x v="0"/>
    <x v="3"/>
    <n v="983531735"/>
    <s v="SAMSUNG"/>
    <s v="GALAXY A24"/>
    <n v="356241324969500"/>
    <s v="R58W60Y34WM"/>
    <m/>
    <m/>
    <m/>
    <m/>
    <d v="2024-01-10T00:00:00"/>
    <d v="2024-01-22T00:00:00"/>
    <x v="3"/>
    <s v="CLARO"/>
    <s v="MAX NEGOCIOS + 55.90"/>
    <s v="SI"/>
    <s v="SI"/>
  </r>
  <r>
    <n v="20"/>
    <x v="19"/>
    <s v="-"/>
    <x v="1"/>
    <x v="11"/>
    <n v="975502373"/>
    <s v="-"/>
    <s v="EQUIPO PERSONAL"/>
    <s v="EQUIPO PERSONAL"/>
    <s v="EQUIPO PERSONAL"/>
    <m/>
    <m/>
    <m/>
    <m/>
    <s v="-"/>
    <s v="-"/>
    <x v="4"/>
    <s v="CLARO"/>
    <s v="MAX NEGOCIOS + 55.90"/>
    <s v="NO"/>
    <s v="NO"/>
  </r>
  <r>
    <n v="21"/>
    <x v="20"/>
    <s v="-"/>
    <x v="0"/>
    <x v="3"/>
    <n v="970520400"/>
    <s v="SAMSUNG"/>
    <s v="GALAXY A24"/>
    <n v="356241324975812"/>
    <s v="R58W60Y3Q0Z"/>
    <m/>
    <m/>
    <m/>
    <m/>
    <d v="2024-01-10T00:00:00"/>
    <d v="2021-12-29T00:00:00"/>
    <x v="3"/>
    <s v="CLARO"/>
    <s v="MAX NEGOCIOS + 55.90"/>
    <s v="SI"/>
    <s v="SI"/>
  </r>
  <r>
    <n v="22"/>
    <x v="21"/>
    <s v="-"/>
    <x v="0"/>
    <x v="5"/>
    <n v="946549573"/>
    <s v="SAMSUNG"/>
    <s v="GALAXY A15"/>
    <n v="351456832088362"/>
    <s v="RF8XA043XHZ"/>
    <m/>
    <m/>
    <m/>
    <m/>
    <d v="2024-10-09T00:00:00"/>
    <d v="2025-03-19T00:00:00"/>
    <x v="9"/>
    <s v="CLARO"/>
    <s v="MAX NEGOCIOS + 55.90"/>
    <s v="NO"/>
    <s v="NO"/>
  </r>
  <r>
    <n v="23"/>
    <x v="22"/>
    <s v="-"/>
    <x v="0"/>
    <x v="3"/>
    <n v="973182098"/>
    <s v="SAMSUNG"/>
    <s v="GALAXY A22"/>
    <n v="358055386150900"/>
    <s v="R9WT40VKDDT"/>
    <m/>
    <m/>
    <m/>
    <m/>
    <d v="2024-01-10T00:00:00"/>
    <d v="2024-05-20T00:00:00"/>
    <x v="3"/>
    <s v="CLARO"/>
    <s v="MAX NEGOCIOS + 55.90"/>
    <s v="SI"/>
    <s v="SI"/>
  </r>
  <r>
    <n v="24"/>
    <x v="23"/>
    <s v="-"/>
    <x v="0"/>
    <x v="12"/>
    <n v="990384631"/>
    <s v="SAMSUNG"/>
    <s v="GALAXY A16"/>
    <n v="356034165579524"/>
    <s v="RF8Y80D3XYP"/>
    <m/>
    <m/>
    <m/>
    <m/>
    <d v="2025-11-05T00:00:00"/>
    <d v="2025-11-11T00:00:00"/>
    <x v="6"/>
    <s v="CLARO"/>
    <s v="MAX NEGOCIOS + 55.90"/>
    <s v="NO"/>
    <s v="NO"/>
  </r>
  <r>
    <n v="25"/>
    <x v="24"/>
    <s v="-"/>
    <x v="0"/>
    <x v="5"/>
    <n v="981586910"/>
    <s v="SAMSUNG"/>
    <s v="GALAXY A14"/>
    <n v="357494913804450"/>
    <s v="R5CW81PF3KY"/>
    <m/>
    <m/>
    <m/>
    <m/>
    <d v="2023-07-11T00:00:00"/>
    <d v="2025-04-07T00:00:00"/>
    <x v="2"/>
    <s v="CLARO"/>
    <s v="MAX NEGOCIOS + 55.90"/>
    <s v="NO"/>
    <s v="NO"/>
  </r>
  <r>
    <n v="26"/>
    <x v="25"/>
    <s v="-"/>
    <x v="0"/>
    <x v="13"/>
    <n v="961431648"/>
    <s v="SAMSUNG"/>
    <s v="GALAXY A15"/>
    <n v="351456832073497"/>
    <s v="RF8XA02JFT"/>
    <m/>
    <m/>
    <m/>
    <m/>
    <d v="2025-01-16T00:00:00"/>
    <d v="2025-03-05T00:00:00"/>
    <x v="1"/>
    <s v="CLARO"/>
    <s v="MAX NEGOCIOS + 55.90"/>
    <s v="NO"/>
    <s v="NO"/>
  </r>
  <r>
    <n v="27"/>
    <x v="26"/>
    <s v="-"/>
    <x v="0"/>
    <x v="14"/>
    <s v="LÍNEA PERSONAL"/>
    <s v="-"/>
    <s v="EQUIPO PERSONAL"/>
    <s v="EQUIPO PERSONAL"/>
    <s v="EQUIPO PERSONAL"/>
    <m/>
    <m/>
    <m/>
    <m/>
    <s v="-"/>
    <s v="-"/>
    <x v="4"/>
    <s v="-"/>
    <s v="-"/>
    <s v="NO"/>
    <s v="NO"/>
  </r>
  <r>
    <n v="28"/>
    <x v="27"/>
    <s v="-"/>
    <x v="0"/>
    <x v="15"/>
    <n v="977601589"/>
    <s v="SAMSUNG"/>
    <s v="GALAXY A35"/>
    <n v="356263632058081"/>
    <s v="RFCX91E8LZE"/>
    <m/>
    <m/>
    <m/>
    <m/>
    <d v="2025-01-30T00:00:00"/>
    <d v="2025-01-31T00:00:00"/>
    <x v="1"/>
    <s v="CLARO"/>
    <s v="MAX NEGOCIOS + 55.90"/>
    <s v="NO"/>
    <s v="NO"/>
  </r>
  <r>
    <n v="29"/>
    <x v="28"/>
    <s v="-"/>
    <x v="0"/>
    <x v="3"/>
    <n v="995420657"/>
    <s v="SAMSUNG"/>
    <s v="GALAXY A24"/>
    <n v="356241324884907"/>
    <s v="R58W60MMEXD"/>
    <m/>
    <m/>
    <m/>
    <m/>
    <d v="2024-01-10T00:00:00"/>
    <d v="2025-10-20T00:00:00"/>
    <x v="3"/>
    <s v="CLARO"/>
    <s v="MAX NEGOCIOS + 55.90"/>
    <s v="SI"/>
    <s v="SI"/>
  </r>
  <r>
    <n v="30"/>
    <x v="29"/>
    <s v="-"/>
    <x v="0"/>
    <x v="3"/>
    <n v="983430233"/>
    <s v="SAMSUNG"/>
    <s v="GALAXY A16"/>
    <n v="356034165577577"/>
    <s v="RF8Y80D3R1X"/>
    <m/>
    <m/>
    <m/>
    <m/>
    <d v="2025-11-05T00:00:00"/>
    <d v="2025-11-11T00:00:00"/>
    <x v="6"/>
    <s v="CLARO"/>
    <s v="MAX NEGOCIOS + 55.90"/>
    <s v="SI"/>
    <s v="SI"/>
  </r>
  <r>
    <n v="31"/>
    <x v="30"/>
    <s v="-"/>
    <x v="0"/>
    <x v="3"/>
    <n v="965722473"/>
    <s v="SAMSUNG"/>
    <s v="GALAXY A32"/>
    <n v="352396400027856"/>
    <s v="R58R60ACRZY"/>
    <m/>
    <m/>
    <m/>
    <m/>
    <d v="2024-05-28T00:00:00"/>
    <d v="2025-05-21T00:00:00"/>
    <x v="10"/>
    <s v="CLARO"/>
    <s v="MAX NEGOCIOS + 55.90"/>
    <s v="SI"/>
    <s v="SI"/>
  </r>
  <r>
    <n v="32"/>
    <x v="31"/>
    <s v="-"/>
    <x v="0"/>
    <x v="0"/>
    <n v="983455378"/>
    <s v="SAMSUNG"/>
    <s v="GALAXY A15"/>
    <n v="351456830437348"/>
    <s v="RF8X108YD3N"/>
    <m/>
    <m/>
    <m/>
    <m/>
    <d v="2025-01-16T00:00:00"/>
    <d v="2025-08-01T00:00:00"/>
    <x v="1"/>
    <s v="CLARO"/>
    <s v="MAX NEGOCIOS + 55.90"/>
    <s v="NO"/>
    <s v="NO"/>
  </r>
  <r>
    <n v="33"/>
    <x v="32"/>
    <s v="-"/>
    <x v="0"/>
    <x v="10"/>
    <n v="977888558"/>
    <s v="SAMSUNG"/>
    <s v="GALAXY A15"/>
    <n v="359104250656003"/>
    <s v="R58X71A2HGN"/>
    <m/>
    <m/>
    <m/>
    <m/>
    <d v="2024-05-28T00:00:00"/>
    <d v="2024-09-23T00:00:00"/>
    <x v="10"/>
    <s v="CLARO"/>
    <s v="MAX NEGOCIOS + 55.90"/>
    <s v="NO"/>
    <s v="NO"/>
  </r>
  <r>
    <n v="34"/>
    <x v="33"/>
    <s v="-"/>
    <x v="0"/>
    <x v="10"/>
    <n v="961002213"/>
    <s v="SAMSUNG"/>
    <s v="GALAXY A32"/>
    <n v="356263315582878"/>
    <s v="RF8R704SZ1J"/>
    <m/>
    <m/>
    <m/>
    <m/>
    <d v="2024-01-10T00:00:00"/>
    <d v="2024-11-21T00:00:00"/>
    <x v="3"/>
    <s v="CLARO"/>
    <s v="MAX NEGOCIOS + 55.90"/>
    <s v="SI"/>
    <s v="SI"/>
  </r>
  <r>
    <n v="35"/>
    <x v="34"/>
    <s v="-"/>
    <x v="0"/>
    <x v="0"/>
    <n v="983563193"/>
    <s v="SAMSUNG"/>
    <s v="GALAXY A14"/>
    <n v="357494912723602"/>
    <s v="R5CW523RRGY"/>
    <m/>
    <m/>
    <m/>
    <m/>
    <d v="2023-07-11T00:00:00"/>
    <d v="2025-09-24T00:00:00"/>
    <x v="2"/>
    <s v="CLARO"/>
    <s v="MAX NEGOCIOS + 55.90"/>
    <s v="NO"/>
    <s v="NO"/>
  </r>
  <r>
    <n v="36"/>
    <x v="35"/>
    <s v="-"/>
    <x v="0"/>
    <x v="7"/>
    <n v="933673635"/>
    <s v="SAMSUNG"/>
    <s v="GALAXY A24"/>
    <n v="356241324972116"/>
    <s v="R58W60Y3CSR"/>
    <m/>
    <m/>
    <m/>
    <m/>
    <d v="2024-01-10T00:00:00"/>
    <d v="2024-05-27T00:00:00"/>
    <x v="3"/>
    <s v="CLARO"/>
    <s v="MAX NEGOCIOS + 55.90"/>
    <s v="NO"/>
    <s v="NO"/>
  </r>
  <r>
    <n v="134"/>
    <x v="36"/>
    <s v="-"/>
    <x v="0"/>
    <x v="1"/>
    <n v="992674915"/>
    <s v="SAMSUNG"/>
    <s v="GALAXY A32"/>
    <n v="356263315560163"/>
    <s v="RF8R704DM0H"/>
    <m/>
    <m/>
    <m/>
    <m/>
    <d v="2023-01-20T00:00:00"/>
    <d v="2025-01-13T00:00:00"/>
    <x v="0"/>
    <s v="CLARO"/>
    <s v="MAX NEGOCIOS + 55.90"/>
    <s v="NO"/>
    <s v="NO"/>
  </r>
  <r>
    <n v="37"/>
    <x v="37"/>
    <s v="-"/>
    <x v="0"/>
    <x v="12"/>
    <n v="981569202"/>
    <s v="SAMSUNG"/>
    <s v="GALAXY A15"/>
    <n v="351456832077944"/>
    <s v="RF8XA042YDD"/>
    <m/>
    <m/>
    <m/>
    <m/>
    <d v="2025-01-16T00:00:00"/>
    <d v="2025-09-03T00:00:00"/>
    <x v="1"/>
    <s v="ENTEL"/>
    <s v="PLAN ENTEL - 67.90"/>
    <s v="NO"/>
    <s v="NO"/>
  </r>
  <r>
    <n v="38"/>
    <x v="38"/>
    <s v="-"/>
    <x v="0"/>
    <x v="16"/>
    <n v="975370508"/>
    <s v="APPLE"/>
    <s v="IPHONE 15 PRO MAX"/>
    <n v="351479722756427"/>
    <s v="DW1VMQWF16"/>
    <m/>
    <m/>
    <m/>
    <m/>
    <d v="2023-11-09T00:00:00"/>
    <d v="2023-11-15T00:00:00"/>
    <x v="7"/>
    <s v="ENTEL"/>
    <s v="PLAN ENTEL - 152.90"/>
    <s v="NO"/>
    <s v="NO"/>
  </r>
  <r>
    <n v="39"/>
    <x v="39"/>
    <s v="-"/>
    <x v="0"/>
    <x v="3"/>
    <n v="975500927"/>
    <s v="SAMSUNG"/>
    <s v="GALAXY A24"/>
    <n v="356241324973734"/>
    <s v="R58W60Y3HPE"/>
    <m/>
    <m/>
    <m/>
    <m/>
    <d v="2024-01-10T00:00:00"/>
    <d v="2024-01-25T00:00:00"/>
    <x v="3"/>
    <s v="CLARO"/>
    <s v="MAX NEGOCIOS + 55.90"/>
    <s v="SI"/>
    <s v="SI"/>
  </r>
  <r>
    <n v="41"/>
    <x v="40"/>
    <s v="-"/>
    <x v="0"/>
    <x v="17"/>
    <n v="946001861"/>
    <s v="SAMSUNG"/>
    <s v="A26 5G"/>
    <s v="357524760028306 / 358073710028304"/>
    <s v="RZGL11BB0JM"/>
    <s v="256 GB"/>
    <m/>
    <m/>
    <m/>
    <d v="2026-03-05T00:00:00"/>
    <d v="2026-03-06T00:00:00"/>
    <x v="11"/>
    <s v="CLARO"/>
    <s v="MAX NEGOCIOS + 55.90"/>
    <s v="NO"/>
    <s v="NO"/>
  </r>
  <r>
    <n v="42"/>
    <x v="41"/>
    <s v="-"/>
    <x v="0"/>
    <x v="3"/>
    <n v="981587949"/>
    <s v="SAMSUNG"/>
    <s v="GALAXY A22"/>
    <n v="358055380516973"/>
    <s v="R9WT10HWYCT"/>
    <m/>
    <m/>
    <m/>
    <m/>
    <d v="2023-03-30T00:00:00"/>
    <d v="2025-11-03T00:00:00"/>
    <x v="12"/>
    <s v="CLARO"/>
    <s v="MAX NEGOCIOS + 55.90"/>
    <s v="SI"/>
    <s v="SI"/>
  </r>
  <r>
    <n v="43"/>
    <x v="42"/>
    <s v="-"/>
    <x v="0"/>
    <x v="17"/>
    <n v="922464999"/>
    <s v="SAMSUNG"/>
    <s v="GALAXY A16"/>
    <n v="357269403141823"/>
    <s v="558Y10C18NK"/>
    <m/>
    <m/>
    <m/>
    <m/>
    <d v="2025-03-31T00:00:00"/>
    <d v="2025-04-15T00:00:00"/>
    <x v="13"/>
    <s v="CLARO"/>
    <s v="MAX NEGOCIOS + 55.90"/>
    <s v="NO"/>
    <s v="NO"/>
  </r>
  <r>
    <n v="44"/>
    <x v="43"/>
    <s v="-"/>
    <x v="0"/>
    <x v="6"/>
    <n v="994891967"/>
    <s v="SAMSUNG"/>
    <s v="GALAXY A16"/>
    <n v="357269400222790"/>
    <s v="RF8Y50GD9ZK"/>
    <m/>
    <m/>
    <m/>
    <m/>
    <d v="2025-07-15T00:00:00"/>
    <d v="2025-07-17T00:00:00"/>
    <x v="14"/>
    <s v="CLARO"/>
    <s v="MAX NEGOCIOS + 55.90"/>
    <s v="NO"/>
    <s v="NO"/>
  </r>
  <r>
    <n v="45"/>
    <x v="44"/>
    <s v="-"/>
    <x v="0"/>
    <x v="5"/>
    <n v="933673065"/>
    <s v="SAMSUNG"/>
    <s v="GALAXY A32"/>
    <n v="356263315554711"/>
    <s v="-"/>
    <m/>
    <m/>
    <m/>
    <m/>
    <d v="2023-01-20T00:00:00"/>
    <d v="2021-11-10T00:00:00"/>
    <x v="0"/>
    <s v="CLARO"/>
    <s v="MAX NEGOCIOS + 55.90"/>
    <s v="SI"/>
    <s v="SI"/>
  </r>
  <r>
    <n v="46"/>
    <x v="45"/>
    <s v="-"/>
    <x v="0"/>
    <x v="0"/>
    <n v="955155107"/>
    <s v="SAMSUNG"/>
    <s v="GALAXY A15"/>
    <n v="351456830436068"/>
    <s v="RF8X108Y97E"/>
    <s v="256 GB"/>
    <m/>
    <m/>
    <m/>
    <d v="2024-05-28T00:00:00"/>
    <d v="2025-08-01T00:00:00"/>
    <x v="10"/>
    <s v="CLARO"/>
    <s v="MAX NEGOCIOS + 55.90"/>
    <s v="SI"/>
    <s v="SI"/>
  </r>
  <r>
    <n v="47"/>
    <x v="46"/>
    <s v="-"/>
    <x v="0"/>
    <x v="1"/>
    <n v="923805522"/>
    <s v="SAMSUNG"/>
    <s v="GALAXY A24"/>
    <n v="356241324979285"/>
    <s v="R58WA05JB0K"/>
    <m/>
    <m/>
    <m/>
    <m/>
    <d v="2024-01-10T00:00:00"/>
    <d v="2025-09-18T00:00:00"/>
    <x v="3"/>
    <s v="CLARO"/>
    <s v="MAX NEGOCIOS + 55.90"/>
    <s v="NO"/>
    <s v="NO"/>
  </r>
  <r>
    <n v="48"/>
    <x v="47"/>
    <s v="-"/>
    <x v="0"/>
    <x v="13"/>
    <n v="970737807"/>
    <s v="APPLE"/>
    <s v="IPHONE 15 PLUS"/>
    <n v="354660205166310"/>
    <s v="MU0Y3BE/A"/>
    <m/>
    <m/>
    <m/>
    <m/>
    <d v="2023-11-10T00:00:00"/>
    <d v="2025-08-07T00:00:00"/>
    <x v="7"/>
    <s v="CLARO"/>
    <s v="MAX NEGOCIOS + 55.90"/>
    <s v="NO"/>
    <s v="NO"/>
  </r>
  <r>
    <n v="49"/>
    <x v="48"/>
    <s v="-"/>
    <x v="0"/>
    <x v="3"/>
    <n v="972958525"/>
    <s v="SAMSUNG"/>
    <s v="GALAXY A24"/>
    <n v="356241324974443"/>
    <s v="R58W60Y3KVR"/>
    <m/>
    <m/>
    <m/>
    <m/>
    <d v="2024-01-10T00:00:00"/>
    <d v="2024-01-31T00:00:00"/>
    <x v="3"/>
    <s v="CLARO"/>
    <s v="MAX NEGOCIOS + 55.90"/>
    <s v="SI"/>
    <s v="SI"/>
  </r>
  <r>
    <n v="50"/>
    <x v="49"/>
    <s v="-"/>
    <x v="0"/>
    <x v="3"/>
    <n v="913738662"/>
    <s v="SAMSUNG"/>
    <s v="GALAXY A13"/>
    <n v="351066360917336"/>
    <s v="R58W10HKAFZ"/>
    <m/>
    <m/>
    <m/>
    <m/>
    <d v="2023-03-30T00:00:00"/>
    <d v="2025-08-29T00:00:00"/>
    <x v="12"/>
    <s v="CLARO"/>
    <s v="MAX NEGOCIOS + 55.90"/>
    <s v="SI"/>
    <s v="SI"/>
  </r>
  <r>
    <n v="52"/>
    <x v="50"/>
    <s v="-"/>
    <x v="0"/>
    <x v="10"/>
    <n v="942122432"/>
    <s v="SAMSUNG"/>
    <s v="GALAXY A22"/>
    <n v="358055380448466"/>
    <s v="R9WT102R0XB"/>
    <m/>
    <m/>
    <m/>
    <m/>
    <d v="2023-04-27T00:00:00"/>
    <d v="2025-01-27T00:00:00"/>
    <x v="15"/>
    <s v="CLARO"/>
    <s v="MAX NEGOCIOS + 55.90"/>
    <s v="SI"/>
    <s v="SI"/>
  </r>
  <r>
    <n v="53"/>
    <x v="51"/>
    <s v="-"/>
    <x v="0"/>
    <x v="9"/>
    <n v="977839114"/>
    <s v="SAMSUNG"/>
    <s v="GALAXY A15"/>
    <n v="359104251115389"/>
    <s v="RF8X901L0EN"/>
    <m/>
    <m/>
    <m/>
    <m/>
    <d v="2024-10-09T00:00:00"/>
    <d v="2024-10-29T00:00:00"/>
    <x v="9"/>
    <s v="CLARO"/>
    <s v="MAX NEGOCIOS + 55.90"/>
    <s v="NO"/>
    <s v="NO"/>
  </r>
  <r>
    <n v="54"/>
    <x v="52"/>
    <s v="-"/>
    <x v="0"/>
    <x v="3"/>
    <n v="981570226"/>
    <s v="SAMSUNG"/>
    <s v="GALAXY A16"/>
    <n v="357269400472882"/>
    <s v="RF8Y710PQTY"/>
    <m/>
    <m/>
    <m/>
    <m/>
    <d v="2025-09-11T00:00:00"/>
    <d v="2025-10-17T00:00:00"/>
    <x v="16"/>
    <s v="CLARO"/>
    <s v="MAX NEGOCIOS + 55.90"/>
    <s v="SI"/>
    <s v="SI"/>
  </r>
  <r>
    <n v="55"/>
    <x v="53"/>
    <s v="-"/>
    <x v="0"/>
    <x v="10"/>
    <n v="955015872"/>
    <s v="SAMSUNG"/>
    <s v="GALAXY A14"/>
    <n v="357494912737065"/>
    <s v="R5CW525LNHY"/>
    <m/>
    <m/>
    <m/>
    <m/>
    <d v="2023-04-27T00:00:00"/>
    <d v="2025-11-05T00:00:00"/>
    <x v="15"/>
    <s v="CLARO"/>
    <s v="MAX NEGOCIOS + 55.90"/>
    <s v="NO"/>
    <s v="NO"/>
  </r>
  <r>
    <n v="56"/>
    <x v="54"/>
    <s v="-"/>
    <x v="0"/>
    <x v="5"/>
    <n v="960740299"/>
    <s v="SAMSUNG"/>
    <s v="GALAXY A15"/>
    <n v="351456832266851"/>
    <s v="RF8XA0DNE2K"/>
    <m/>
    <m/>
    <m/>
    <m/>
    <d v="2024-12-04T00:00:00"/>
    <d v="2024-12-13T00:00:00"/>
    <x v="17"/>
    <s v="CLARO"/>
    <s v="MAX NEGOCIOS + 55.90"/>
    <s v="SI"/>
    <s v="SI"/>
  </r>
  <r>
    <n v="57"/>
    <x v="55"/>
    <s v="-"/>
    <x v="0"/>
    <x v="3"/>
    <n v="997747832"/>
    <s v="SAMSUNG"/>
    <s v="GALAXY A15"/>
    <n v="351456831996029"/>
    <s v="RF8X90C9ZXD"/>
    <m/>
    <m/>
    <m/>
    <m/>
    <d v="2024-10-09T00:00:00"/>
    <d v="2024-10-21T00:00:00"/>
    <x v="9"/>
    <s v="CLARO"/>
    <s v="MAX NEGOCIOS + 55.90"/>
    <s v="SI"/>
    <s v="SI"/>
  </r>
  <r>
    <n v="58"/>
    <x v="56"/>
    <s v="-"/>
    <x v="0"/>
    <x v="3"/>
    <n v="920113818"/>
    <s v="SAMSUNG"/>
    <s v="GALAXY A16"/>
    <n v="357269400466181"/>
    <s v="RF8Y710P4HJ"/>
    <m/>
    <m/>
    <m/>
    <m/>
    <d v="2025-09-11T00:00:00"/>
    <d v="2025-10-21T00:00:00"/>
    <x v="16"/>
    <s v="CLARO"/>
    <s v="MAX NEGOCIOS + 55.90"/>
    <s v="SI"/>
    <s v="SI"/>
  </r>
  <r>
    <n v="59"/>
    <x v="57"/>
    <s v="-"/>
    <x v="0"/>
    <x v="3"/>
    <n v="970591520"/>
    <s v="SAMSUNG"/>
    <s v="GALAXY A24"/>
    <n v="356241324972090"/>
    <s v="R58W60Y3CQW"/>
    <m/>
    <m/>
    <m/>
    <m/>
    <d v="2024-01-10T00:00:00"/>
    <d v="2024-01-22T00:00:00"/>
    <x v="3"/>
    <s v="CLARO"/>
    <s v="MAX NEGOCIOS + 55.90"/>
    <s v="SI"/>
    <s v="SI"/>
  </r>
  <r>
    <n v="60"/>
    <x v="58"/>
    <s v="-"/>
    <x v="0"/>
    <x v="3"/>
    <n v="950556012"/>
    <s v="SAMSUNG"/>
    <s v="GALAXY A22"/>
    <n v="358055380935314"/>
    <s v="R9WT20APGKN"/>
    <m/>
    <m/>
    <m/>
    <m/>
    <d v="2023-01-20T00:00:00"/>
    <d v="2025-10-01T00:00:00"/>
    <x v="0"/>
    <s v="CLARO"/>
    <s v="MAX NEGOCIOS + 55.90"/>
    <s v="SI"/>
    <s v="SI"/>
  </r>
  <r>
    <n v="61"/>
    <x v="59"/>
    <s v="-"/>
    <x v="0"/>
    <x v="3"/>
    <n v="996896401"/>
    <s v="SAMSUNG"/>
    <s v="GALAXY A13"/>
    <n v="358785932280153"/>
    <s v="R58W10HKAFZ"/>
    <m/>
    <m/>
    <m/>
    <m/>
    <d v="2023-03-30T00:00:00"/>
    <d v="2024-05-07T00:00:00"/>
    <x v="12"/>
    <s v="CLARO"/>
    <s v="MAX NEGOCIOS + 55.90"/>
    <s v="SI"/>
    <s v="SI"/>
  </r>
  <r>
    <n v="62"/>
    <x v="60"/>
    <s v="-"/>
    <x v="0"/>
    <x v="11"/>
    <n v="992674712"/>
    <s v="SAMSUNG"/>
    <s v="GALAXY A22"/>
    <n v="350640425548111"/>
    <s v="R58T40B5D6X"/>
    <s v="64 GB"/>
    <m/>
    <m/>
    <m/>
    <d v="2023-04-27T00:00:00"/>
    <d v="2025-09-10T00:00:00"/>
    <x v="15"/>
    <s v="CLARO"/>
    <s v="MAX NEGOCIOS + 55.90"/>
    <s v="NO"/>
    <s v="NO"/>
  </r>
  <r>
    <n v="63"/>
    <x v="61"/>
    <s v="-"/>
    <x v="0"/>
    <x v="12"/>
    <n v="945195811"/>
    <s v="SAMSUNG"/>
    <s v="GALAXY A35"/>
    <n v="356263632027268"/>
    <s v="RFCX91E5SKT"/>
    <m/>
    <m/>
    <m/>
    <m/>
    <d v="2025-01-30T00:00:00"/>
    <d v="2025-01-31T00:00:00"/>
    <x v="1"/>
    <s v="ENTEL"/>
    <s v="PLAN ENTEL - 67.90"/>
    <s v="NO"/>
    <s v="NO"/>
  </r>
  <r>
    <n v="64"/>
    <x v="62"/>
    <s v="-"/>
    <x v="0"/>
    <x v="3"/>
    <n v="969736235"/>
    <s v="SAMSUNG"/>
    <s v="GALAXY A31"/>
    <n v="358785931894855"/>
    <s v="R58NB2XCE7E"/>
    <m/>
    <m/>
    <m/>
    <m/>
    <d v="2023-01-20T00:00:00"/>
    <d v="2025-05-29T00:00:00"/>
    <x v="0"/>
    <s v="CLARO"/>
    <s v="MAX NEGOCIOS + 55.90"/>
    <s v="SI"/>
    <s v="SI"/>
  </r>
  <r>
    <n v="65"/>
    <x v="63"/>
    <s v="-"/>
    <x v="0"/>
    <x v="1"/>
    <n v="965722388"/>
    <s v="SAMSUNG"/>
    <s v="GALAXY S25"/>
    <n v="351823704541655"/>
    <s v="RFCY10L6VKD"/>
    <m/>
    <m/>
    <m/>
    <m/>
    <d v="2025-03-31T00:00:00"/>
    <d v="2025-12-18T00:00:00"/>
    <x v="13"/>
    <s v="CLARO"/>
    <s v="MAX NEGOCIOS + ILIMITADO 69.90"/>
    <s v="NO"/>
    <s v="NO"/>
  </r>
  <r>
    <n v="66"/>
    <x v="64"/>
    <s v="-"/>
    <x v="0"/>
    <x v="3"/>
    <n v="934949476"/>
    <s v="SAMSUNG"/>
    <s v="GALAXY A13"/>
    <n v="351066360477802"/>
    <s v="R58TC0CEKTY"/>
    <m/>
    <m/>
    <m/>
    <m/>
    <d v="2023-03-30T00:00:00"/>
    <d v="2023-04-27T00:00:00"/>
    <x v="12"/>
    <s v="CLARO"/>
    <s v="MAX NEGOCIOS + 55.90"/>
    <s v="SI"/>
    <s v="SI"/>
  </r>
  <r>
    <n v="67"/>
    <x v="65"/>
    <s v="-"/>
    <x v="0"/>
    <x v="3"/>
    <n v="913733596"/>
    <s v="SAMSUNG"/>
    <s v="GALAXY A14"/>
    <n v="357494912756636"/>
    <s v="R5CW525NFTH"/>
    <s v="128 GB"/>
    <m/>
    <m/>
    <m/>
    <d v="2024-02-07T00:00:00"/>
    <d v="2025-04-01T00:00:00"/>
    <x v="3"/>
    <s v="CLARO"/>
    <s v="MAX NEGOCIOS + 55.90"/>
    <s v="SI"/>
    <s v="SI"/>
  </r>
  <r>
    <n v="68"/>
    <x v="66"/>
    <s v="-"/>
    <x v="0"/>
    <x v="3"/>
    <n v="970707025"/>
    <s v="SAMSUNG"/>
    <s v="GALAXY A31"/>
    <n v="358785932293487"/>
    <s v="R58NB4EREFJ"/>
    <m/>
    <m/>
    <m/>
    <m/>
    <d v="2023-01-20T00:00:00"/>
    <d v="2025-04-04T00:00:00"/>
    <x v="0"/>
    <s v="CLARO"/>
    <s v="MAX NEGOCIOS + 55.90"/>
    <s v="SI"/>
    <s v="SI"/>
  </r>
  <r>
    <n v="69"/>
    <x v="67"/>
    <s v="-"/>
    <x v="0"/>
    <x v="18"/>
    <n v="970608088"/>
    <s v="SAMSUNG"/>
    <s v="GALAXY A16"/>
    <n v="357269403146095"/>
    <s v="R58Y10C1MLZ"/>
    <m/>
    <m/>
    <m/>
    <m/>
    <d v="2025-07-15T00:00:00"/>
    <d v="2025-10-07T00:00:00"/>
    <x v="14"/>
    <s v="CLARO"/>
    <s v="MAX NEGOCIOS + 55.90"/>
    <s v="NO"/>
    <s v="NO"/>
  </r>
  <r>
    <n v="70"/>
    <x v="68"/>
    <s v="-"/>
    <x v="0"/>
    <x v="3"/>
    <n v="943442299"/>
    <s v="SAMSUNG"/>
    <s v="GALAXY A24"/>
    <n v="356241324979053"/>
    <s v="R58W60Y40TB"/>
    <m/>
    <m/>
    <m/>
    <m/>
    <d v="2024-01-10T00:00:00"/>
    <d v="2024-02-08T00:00:00"/>
    <x v="3"/>
    <s v="CLARO"/>
    <s v="MAX NEGOCIOS + 55.90"/>
    <s v="SI"/>
    <s v="SI"/>
  </r>
  <r>
    <n v="71"/>
    <x v="69"/>
    <s v="-"/>
    <x v="0"/>
    <x v="6"/>
    <n v="965722402"/>
    <s v="SAMSUNG"/>
    <s v="GALAXY A31"/>
    <n v="358785932283520"/>
    <s v="R58NB4EQH9B"/>
    <m/>
    <m/>
    <m/>
    <m/>
    <d v="2024-02-16T00:00:00"/>
    <d v="2025-08-13T00:00:00"/>
    <x v="8"/>
    <s v="CLARO"/>
    <s v="MAX NEGOCIOS + 55.90"/>
    <s v="NO"/>
    <s v="NO"/>
  </r>
  <r>
    <n v="72"/>
    <x v="70"/>
    <s v="-"/>
    <x v="0"/>
    <x v="3"/>
    <n v="984541012"/>
    <s v="SAMSUNG"/>
    <s v="GALAXY A24"/>
    <n v="356241324969617"/>
    <s v="R58W60Y357X"/>
    <m/>
    <m/>
    <m/>
    <m/>
    <d v="2024-01-10T00:00:00"/>
    <d v="2024-02-02T00:00:00"/>
    <x v="3"/>
    <s v="CLARO"/>
    <s v="MAX NEGOCIOS + 55.90"/>
    <s v="SI"/>
    <s v="SI"/>
  </r>
  <r>
    <n v="73"/>
    <x v="71"/>
    <s v="-"/>
    <x v="0"/>
    <x v="1"/>
    <n v="970568046"/>
    <s v="SAMSUNG"/>
    <s v="GALAXY A16"/>
    <n v="357269403160211"/>
    <s v="R58Y10C2YDE"/>
    <m/>
    <m/>
    <m/>
    <m/>
    <d v="2025-03-31T00:00:00"/>
    <d v="2025-05-29T00:00:00"/>
    <x v="13"/>
    <s v="ENTEL"/>
    <s v="PLAN ENTEL - 67.90"/>
    <s v="NO"/>
    <s v="NO"/>
  </r>
  <r>
    <n v="74"/>
    <x v="72"/>
    <s v="-"/>
    <x v="0"/>
    <x v="3"/>
    <n v="905433778"/>
    <s v="SAMSUNG"/>
    <s v="GALAXY A31"/>
    <n v="358785932281771"/>
    <s v="R58NB4EQBZN"/>
    <m/>
    <m/>
    <m/>
    <m/>
    <d v="2024-02-16T00:00:00"/>
    <d v="2025-07-14T00:00:00"/>
    <x v="8"/>
    <s v="CLARO"/>
    <s v="MAX NEGOCIOS + 55.90"/>
    <s v="SI"/>
    <s v="SI"/>
  </r>
  <r>
    <n v="75"/>
    <x v="73"/>
    <s v="-"/>
    <x v="0"/>
    <x v="3"/>
    <n v="913739565"/>
    <s v="SAMSUNG"/>
    <s v="GALAXY A14"/>
    <n v="357494912361239"/>
    <s v="R5CW50YYR0D"/>
    <m/>
    <m/>
    <m/>
    <m/>
    <d v="2023-04-27T00:00:00"/>
    <d v="2025-07-14T00:00:00"/>
    <x v="15"/>
    <s v="CLARO"/>
    <s v="MAX NEGOCIOS + 55.90"/>
    <s v="SI"/>
    <s v="SI"/>
  </r>
  <r>
    <n v="76"/>
    <x v="74"/>
    <s v="-"/>
    <x v="0"/>
    <x v="1"/>
    <n v="961002227"/>
    <s v="SAMSUNG"/>
    <s v="GALAXY A16"/>
    <n v="357269400232575"/>
    <s v="RF8Y50GE6LR"/>
    <m/>
    <m/>
    <m/>
    <m/>
    <d v="2025-07-15T00:00:00"/>
    <d v="2025-08-05T00:00:00"/>
    <x v="14"/>
    <s v="ENTEL"/>
    <s v="PLAN ENTEL - 67.90"/>
    <s v="NO"/>
    <s v="NO"/>
  </r>
  <r>
    <n v="77"/>
    <x v="75"/>
    <s v="-"/>
    <x v="0"/>
    <x v="3"/>
    <n v="933271610"/>
    <s v="SAMSUNG"/>
    <s v="GALAXY A15"/>
    <n v="359104250638001"/>
    <s v="R58X71A0VYL"/>
    <m/>
    <m/>
    <m/>
    <m/>
    <d v="2024-02-16T00:00:00"/>
    <d v="2024-09-23T00:00:00"/>
    <x v="8"/>
    <s v="CLARO"/>
    <s v="MAX NEGOCIOS + 55.90"/>
    <s v="NO"/>
    <s v="NO"/>
  </r>
  <r>
    <n v="78"/>
    <x v="76"/>
    <s v="-"/>
    <x v="0"/>
    <x v="3"/>
    <n v="919280590"/>
    <s v="SAMSUNG"/>
    <s v="GALAXY A32"/>
    <n v="356263315558977"/>
    <s v="RF8R704DHDL"/>
    <m/>
    <m/>
    <m/>
    <m/>
    <d v="2024-09-11T00:00:00"/>
    <d v="2024-10-25T00:00:00"/>
    <x v="18"/>
    <s v="CLARO"/>
    <s v="MAX NEGOCIOS + 55.90"/>
    <s v="SI"/>
    <s v="SI"/>
  </r>
  <r>
    <n v="79"/>
    <x v="77"/>
    <s v="-"/>
    <x v="0"/>
    <x v="10"/>
    <n v="973211880"/>
    <s v="SAMSUNG"/>
    <s v="GALAXY A31"/>
    <n v="358785932292133"/>
    <s v="R58NB4ERACT"/>
    <m/>
    <m/>
    <m/>
    <m/>
    <d v="2023-01-20T00:00:00"/>
    <d v="2025-01-27T00:00:00"/>
    <x v="0"/>
    <s v="CLARO"/>
    <s v="MAX NEGOCIOS + 55.90"/>
    <s v="SI"/>
    <s v="SI"/>
  </r>
  <r>
    <n v="80"/>
    <x v="78"/>
    <s v="-"/>
    <x v="0"/>
    <x v="2"/>
    <n v="977829469"/>
    <s v="SAMSUNG"/>
    <s v="GALAXY A14"/>
    <n v="357494913789420"/>
    <s v="R5CW81PDQ1J"/>
    <m/>
    <m/>
    <m/>
    <m/>
    <d v="2023-04-27T00:00:00"/>
    <d v="2024-02-19T00:00:00"/>
    <x v="15"/>
    <s v="CLARO"/>
    <s v="MAX NEGOCIOS + 55.90"/>
    <s v="NO"/>
    <s v="NO"/>
  </r>
  <r>
    <n v="81"/>
    <x v="79"/>
    <s v="-"/>
    <x v="0"/>
    <x v="0"/>
    <n v="977838054"/>
    <s v="SAMSUNG"/>
    <s v="GALAXY A15"/>
    <n v="351456830436555"/>
    <s v="RF8X108YAPR"/>
    <m/>
    <m/>
    <m/>
    <m/>
    <d v="2023-01-20T00:00:00"/>
    <d v="2024-02-22T00:00:00"/>
    <x v="0"/>
    <s v="CLARO"/>
    <s v="MAX NEGOCIOS + 55.90"/>
    <s v="NO"/>
    <s v="NO"/>
  </r>
  <r>
    <n v="82"/>
    <x v="80"/>
    <s v="-"/>
    <x v="0"/>
    <x v="15"/>
    <n v="943275141"/>
    <s v="HUAWEI"/>
    <s v="P30"/>
    <n v="869426042758463"/>
    <s v="JND0219827005309"/>
    <m/>
    <m/>
    <m/>
    <m/>
    <s v="-"/>
    <d v="2025-01-08T00:00:00"/>
    <x v="4"/>
    <s v="CLARO"/>
    <s v="MAX NEGOCIOS + 55.90"/>
    <s v="NO"/>
    <s v="NO"/>
  </r>
  <r>
    <n v="83"/>
    <x v="81"/>
    <s v="-"/>
    <x v="0"/>
    <x v="3"/>
    <n v="981304167"/>
    <s v="SAMSUNG"/>
    <s v="GALAXY A13"/>
    <n v="351066360989061"/>
    <s v="R58W10HSM3P"/>
    <m/>
    <m/>
    <m/>
    <m/>
    <d v="2025-01-16T00:00:00"/>
    <d v="2025-10-29T00:00:00"/>
    <x v="1"/>
    <s v="CLARO"/>
    <s v="MAX NEGOCIOS + 55.90"/>
    <s v="SI"/>
    <s v="SI"/>
  </r>
  <r>
    <n v="84"/>
    <x v="82"/>
    <s v="-"/>
    <x v="0"/>
    <x v="3"/>
    <n v="987336472"/>
    <s v="SAMSUNG"/>
    <s v="GALAXY A13"/>
    <n v="351066360500496"/>
    <s v="R58TC0FMFWF"/>
    <s v="64 GB"/>
    <m/>
    <m/>
    <m/>
    <d v="2025-01-16T00:00:00"/>
    <d v="2025-06-19T00:00:00"/>
    <x v="1"/>
    <s v="CLARO"/>
    <s v="MAX NEGOCIOS + 55.90"/>
    <s v="SI"/>
    <s v="SI"/>
  </r>
  <r>
    <n v="85"/>
    <x v="83"/>
    <s v="-"/>
    <x v="0"/>
    <x v="19"/>
    <n v="913737282"/>
    <s v="SAMSUNG"/>
    <s v="GALAXY S23 FE"/>
    <n v="358615310961928"/>
    <s v="R5CWA07QH7M"/>
    <m/>
    <m/>
    <m/>
    <m/>
    <d v="2024-09-11T00:00:00"/>
    <d v="2024-09-03T00:00:00"/>
    <x v="18"/>
    <s v="CLARO"/>
    <s v="MAX NEGOCIOS + ILIMITADO 109.90"/>
    <s v="NO"/>
    <s v="NO"/>
  </r>
  <r>
    <n v="86"/>
    <x v="84"/>
    <s v="-"/>
    <x v="0"/>
    <x v="3"/>
    <n v="984538102"/>
    <s v="SAMSUNG"/>
    <s v="GALAXY A32"/>
    <n v="356263315565006"/>
    <s v="RF8R704E2NH"/>
    <m/>
    <m/>
    <m/>
    <m/>
    <d v="2023-01-20T00:00:00"/>
    <d v="2025-05-26T00:00:00"/>
    <x v="0"/>
    <s v="CLARO"/>
    <s v="MAX NEGOCIOS + 55.90"/>
    <s v="SI"/>
    <s v="SI"/>
  </r>
  <r>
    <n v="88"/>
    <x v="85"/>
    <s v="-"/>
    <x v="0"/>
    <x v="5"/>
    <n v="981291280"/>
    <s v="SAMSUNG"/>
    <s v="GALAXY A15"/>
    <n v="351456832403249"/>
    <s v="RF8XA0EP2DF"/>
    <m/>
    <m/>
    <m/>
    <m/>
    <d v="2024-02-16T00:00:00"/>
    <d v="2024-12-03T00:00:00"/>
    <x v="8"/>
    <s v="CLARO"/>
    <s v="MAX NEGOCIOS + 55.90"/>
    <s v="NO"/>
    <s v="NO"/>
  </r>
  <r>
    <n v="89"/>
    <x v="86"/>
    <s v="-"/>
    <x v="0"/>
    <x v="0"/>
    <n v="913735869"/>
    <s v="SAMSUNG"/>
    <s v="GALAXY A15"/>
    <n v="351456830437041"/>
    <s v="RF8X108YC6D"/>
    <m/>
    <m/>
    <m/>
    <m/>
    <d v="2025-01-16T00:00:00"/>
    <d v="2025-06-02T00:00:00"/>
    <x v="1"/>
    <s v="CLARO"/>
    <s v="MAX NEGOCIOS + 55.90"/>
    <s v="NO"/>
    <s v="NO"/>
  </r>
  <r>
    <n v="90"/>
    <x v="87"/>
    <s v="-"/>
    <x v="0"/>
    <x v="15"/>
    <n v="933659350"/>
    <s v="SAMSUNG"/>
    <s v="GALAXY A56 5G"/>
    <s v="352010503008245 / 353508196008242"/>
    <s v="R5GL123WBDZ"/>
    <s v="256 GB"/>
    <m/>
    <m/>
    <m/>
    <d v="2026-03-31T00:00:00"/>
    <d v="2026-04-01T00:00:00"/>
    <x v="19"/>
    <s v="CLARO"/>
    <s v="MAX NEGOCIOS + 55.90"/>
    <s v="NO"/>
    <s v="NO"/>
  </r>
  <r>
    <n v="91"/>
    <x v="88"/>
    <s v="-"/>
    <x v="0"/>
    <x v="3"/>
    <n v="919280526"/>
    <s v="SAMSUNG"/>
    <s v="GALAXY A16"/>
    <n v="357269400412573"/>
    <s v="RF8Y70RVJ1Y"/>
    <m/>
    <m/>
    <m/>
    <m/>
    <d v="2025-09-11T00:00:00"/>
    <d v="2025-09-18T00:00:00"/>
    <x v="16"/>
    <s v="CLARO"/>
    <s v="MAX NEGOCIOS + 55.90"/>
    <s v="SI"/>
    <s v="SI"/>
  </r>
  <r>
    <n v="92"/>
    <x v="89"/>
    <s v="-"/>
    <x v="0"/>
    <x v="1"/>
    <n v="934837477"/>
    <s v="SAMSUNG"/>
    <s v="GALAXY A16"/>
    <n v="357269403143480"/>
    <s v="R58Y10C1DPH"/>
    <m/>
    <m/>
    <m/>
    <m/>
    <d v="2025-03-31T00:00:00"/>
    <d v="2025-05-13T00:00:00"/>
    <x v="13"/>
    <s v="ENTEL"/>
    <s v="PLAN ENTEL - 67.90"/>
    <s v="NO"/>
    <s v="NO"/>
  </r>
  <r>
    <n v="93"/>
    <x v="90"/>
    <s v="-"/>
    <x v="0"/>
    <x v="0"/>
    <n v="970704609"/>
    <s v="SAMSUNG"/>
    <s v="GALAXY A15"/>
    <n v="351456830463013"/>
    <s v="RF8R704E2NH"/>
    <m/>
    <m/>
    <m/>
    <m/>
    <d v="2024-02-16T00:00:00"/>
    <d v="2024-02-22T00:00:00"/>
    <x v="8"/>
    <s v="CLARO"/>
    <s v="MAX NEGOCIOS + 55.90"/>
    <s v="NO"/>
    <s v="NO"/>
  </r>
  <r>
    <n v="94"/>
    <x v="91"/>
    <s v="-"/>
    <x v="0"/>
    <x v="5"/>
    <n v="945041458"/>
    <s v="SAMSUNG"/>
    <s v="GALAXY A15"/>
    <n v="351456832077993"/>
    <s v="RF8XA042Z3N"/>
    <m/>
    <m/>
    <m/>
    <m/>
    <d v="2025-01-16T00:00:00"/>
    <d v="2025-03-20T00:00:00"/>
    <x v="1"/>
    <s v="CLARO"/>
    <s v="MAX NEGOCIOS + 55.90"/>
    <s v="NO"/>
    <s v="NO"/>
  </r>
  <r>
    <n v="95"/>
    <x v="92"/>
    <s v="-"/>
    <x v="0"/>
    <x v="3"/>
    <n v="955155107"/>
    <s v="SAMSUNG"/>
    <s v="GALAXY A32"/>
    <n v="356263315559207"/>
    <s v="RF8R704DJ3Y"/>
    <s v="128 GB"/>
    <m/>
    <m/>
    <m/>
    <d v="2023-01-20T00:00:00"/>
    <d v="2025-02-18T00:00:00"/>
    <x v="0"/>
    <s v="CLARO"/>
    <s v="MAX NEGOCIOS + 55.90"/>
    <s v="NO"/>
    <s v="NO"/>
  </r>
  <r>
    <n v="96"/>
    <x v="93"/>
    <s v="-"/>
    <x v="0"/>
    <x v="3"/>
    <n v="981027322"/>
    <s v="SAMSUNG"/>
    <s v="GALAXY A23"/>
    <n v="350391900894519"/>
    <s v="R58TA28BXYV"/>
    <m/>
    <m/>
    <m/>
    <m/>
    <d v="2023-01-20T00:00:00"/>
    <d v="2024-04-25T00:00:00"/>
    <x v="0"/>
    <s v="CLARO"/>
    <s v="MAX NEGOCIOS + 55.90"/>
    <s v="SI"/>
    <s v="SI"/>
  </r>
  <r>
    <n v="97"/>
    <x v="94"/>
    <s v="-"/>
    <x v="0"/>
    <x v="3"/>
    <n v="973181946"/>
    <s v="SAMSUNG"/>
    <s v="GALAXY A15"/>
    <n v="359104251096142"/>
    <s v="R58X901J84V"/>
    <m/>
    <m/>
    <m/>
    <m/>
    <d v="2024-10-09T00:00:00"/>
    <d v="2024-10-21T00:00:00"/>
    <x v="9"/>
    <s v="CLARO"/>
    <s v="MAX NEGOCIOS + 55.90"/>
    <s v="SI"/>
    <s v="SI"/>
  </r>
  <r>
    <n v="98"/>
    <x v="95"/>
    <s v="-"/>
    <x v="0"/>
    <x v="1"/>
    <n v="999527342"/>
    <s v="SAMSUNG"/>
    <s v="GALAXY A14"/>
    <n v="357494913792978"/>
    <s v="R5CW81PE1SR"/>
    <m/>
    <m/>
    <m/>
    <m/>
    <d v="2023-04-27T00:00:00"/>
    <d v="2024-02-13T00:00:00"/>
    <x v="15"/>
    <s v="ENTEL"/>
    <s v="PLAN ENTEL - 67.90"/>
    <s v="NO"/>
    <s v="NO"/>
  </r>
  <r>
    <n v="99"/>
    <x v="95"/>
    <s v="-"/>
    <x v="0"/>
    <x v="1"/>
    <n v="965722454"/>
    <s v="SAMSUNG"/>
    <s v="GALAXY A22"/>
    <n v="358055385964764"/>
    <s v="R9WT40TQ9PR"/>
    <m/>
    <m/>
    <m/>
    <m/>
    <d v="2023-12-16T00:00:00"/>
    <d v="2025-09-09T00:00:00"/>
    <x v="5"/>
    <s v="CLARO"/>
    <s v="MAX NEGOCIOS + 55.90"/>
    <s v="NO"/>
    <s v="NO"/>
  </r>
  <r>
    <n v="100"/>
    <x v="96"/>
    <s v="-"/>
    <x v="0"/>
    <x v="3"/>
    <n v="981583347"/>
    <s v="SAMSUNG"/>
    <s v="GALAXY A31"/>
    <n v="358785932278728"/>
    <s v="R58NB4EQ2QN"/>
    <m/>
    <m/>
    <m/>
    <m/>
    <d v="2023-12-16T00:00:00"/>
    <d v="2021-06-21T00:00:00"/>
    <x v="5"/>
    <s v="CLARO"/>
    <s v="MAX NEGOCIOS + 55.90"/>
    <s v="SI"/>
    <s v="SI"/>
  </r>
  <r>
    <n v="101"/>
    <x v="97"/>
    <s v="-"/>
    <x v="0"/>
    <x v="3"/>
    <n v="965722431"/>
    <s v="SAMSUNG"/>
    <s v="GALAXY A31"/>
    <n v="358785932283397"/>
    <s v="R58NB4EQGWL"/>
    <m/>
    <m/>
    <m/>
    <m/>
    <d v="2023-01-20T00:00:00"/>
    <d v="2025-08-20T00:00:00"/>
    <x v="0"/>
    <s v="CLARO"/>
    <s v="MAX NEGOCIOS + 55.90"/>
    <s v="SI"/>
    <s v="SI"/>
  </r>
  <r>
    <n v="102"/>
    <x v="98"/>
    <s v="-"/>
    <x v="0"/>
    <x v="3"/>
    <n v="996896407"/>
    <s v="SAMSUNG"/>
    <s v="GALAXY A31"/>
    <n v="358785932277993"/>
    <s v="R58NB4EQ0HT"/>
    <m/>
    <m/>
    <m/>
    <m/>
    <d v="2024-01-10T00:00:00"/>
    <d v="2024-11-05T00:00:00"/>
    <x v="3"/>
    <s v="CLARO"/>
    <s v="MAX NEGOCIOS + 55.90"/>
    <s v="SI"/>
    <s v="SI"/>
  </r>
  <r>
    <n v="103"/>
    <x v="99"/>
    <s v="-"/>
    <x v="0"/>
    <x v="3"/>
    <n v="943442171"/>
    <s v="SAMSUNG"/>
    <s v="GALAXY A24"/>
    <n v="356241324936376"/>
    <s v="R58W60WVQLP"/>
    <m/>
    <m/>
    <m/>
    <m/>
    <d v="2024-01-10T00:00:00"/>
    <d v="2024-01-26T00:00:00"/>
    <x v="3"/>
    <s v="CLARO"/>
    <s v="MAX NEGOCIOS + 55.90"/>
    <s v="SI"/>
    <s v="SI"/>
  </r>
  <r>
    <n v="104"/>
    <x v="100"/>
    <s v="-"/>
    <x v="0"/>
    <x v="18"/>
    <n v="938635666"/>
    <s v="SAMSUNG"/>
    <s v="GALAXY A15"/>
    <n v="351456832069875"/>
    <s v="RF8XA0427GD"/>
    <m/>
    <m/>
    <m/>
    <m/>
    <d v="2024-05-28T00:00:00"/>
    <d v="2025-01-21T00:00:00"/>
    <x v="10"/>
    <s v="CLARO"/>
    <s v="MAX NEGOCIOS + 55.90"/>
    <s v="NO"/>
    <s v="NO"/>
  </r>
  <r>
    <n v="105"/>
    <x v="101"/>
    <s v="-"/>
    <x v="0"/>
    <x v="10"/>
    <n v="960658685"/>
    <s v="SAMSUNG"/>
    <s v="GALAXY A32"/>
    <n v="356263315585236"/>
    <s v="RF8R704T66F"/>
    <m/>
    <m/>
    <m/>
    <m/>
    <d v="2023-01-20T00:00:00"/>
    <d v="2023-06-12T00:00:00"/>
    <x v="0"/>
    <s v="CLARO"/>
    <s v="MAX NEGOCIOS + 55.90"/>
    <s v="SI"/>
    <s v="SI"/>
  </r>
  <r>
    <n v="106"/>
    <x v="102"/>
    <s v="-"/>
    <x v="0"/>
    <x v="3"/>
    <n v="977838806"/>
    <s v="SAMSUNG"/>
    <s v="GALAXY A24"/>
    <n v="356241324939859"/>
    <s v="R58W60WW25A"/>
    <m/>
    <m/>
    <m/>
    <m/>
    <d v="2024-01-10T00:00:00"/>
    <d v="2025-06-17T00:00:00"/>
    <x v="3"/>
    <s v="CLARO"/>
    <s v="MAX NEGOCIOS + 55.90"/>
    <s v="SI"/>
    <s v="SI"/>
  </r>
  <r>
    <n v="107"/>
    <x v="103"/>
    <s v="-"/>
    <x v="0"/>
    <x v="2"/>
    <n v="955465977"/>
    <s v="SAMSUNG"/>
    <s v="GALAXY A16"/>
    <n v="357269403161144"/>
    <s v="R58Y10C317K"/>
    <m/>
    <m/>
    <m/>
    <m/>
    <d v="2025-03-31T00:00:00"/>
    <d v="2025-04-15T00:00:00"/>
    <x v="13"/>
    <s v="CLARO"/>
    <s v="MAX NEGOCIOS + 55.90"/>
    <s v="NO"/>
    <s v="NO"/>
  </r>
  <r>
    <n v="108"/>
    <x v="104"/>
    <s v="-"/>
    <x v="0"/>
    <x v="18"/>
    <n v="913736566"/>
    <s v="SAMSUNG"/>
    <s v="GALAXY A15"/>
    <n v="351456830356977"/>
    <s v="RF8X107MANJ"/>
    <m/>
    <m/>
    <m/>
    <m/>
    <d v="2024-02-16T00:00:00"/>
    <d v="2024-06-03T00:00:00"/>
    <x v="8"/>
    <s v="CLARO"/>
    <s v="MAX NEGOCIOS + 55.90"/>
    <s v="NO"/>
    <s v="NO"/>
  </r>
  <r>
    <n v="109"/>
    <x v="105"/>
    <s v="-"/>
    <x v="0"/>
    <x v="1"/>
    <n v="996896403"/>
    <s v="SAMSUNG"/>
    <s v="GALAXY A15"/>
    <n v="351456832081987"/>
    <s v="RF8XA043B6X"/>
    <m/>
    <m/>
    <m/>
    <m/>
    <d v="2024-12-04T00:00:00"/>
    <d v="2025-03-13T00:00:00"/>
    <x v="17"/>
    <s v="ENTEL"/>
    <s v="PLAN ENTEL - 67.90"/>
    <s v="NO"/>
    <s v="NO"/>
  </r>
  <r>
    <n v="110"/>
    <x v="106"/>
    <s v="-"/>
    <x v="0"/>
    <x v="3"/>
    <n v="919280585"/>
    <s v="SAMSUNG"/>
    <s v="GALAXY A24"/>
    <n v="356241324969534"/>
    <s v="R58W60Y34ZN"/>
    <m/>
    <m/>
    <m/>
    <m/>
    <d v="2024-01-10T00:00:00"/>
    <d v="2024-01-26T00:00:00"/>
    <x v="3"/>
    <s v="CLARO"/>
    <s v="MAX NEGOCIOS + 55.90"/>
    <s v="SI"/>
    <s v="SI"/>
  </r>
  <r>
    <n v="111"/>
    <x v="107"/>
    <s v="-"/>
    <x v="0"/>
    <x v="5"/>
    <s v="LÍNEA PERSONAL"/>
    <s v="-"/>
    <s v="EQUIPO PERSONAL"/>
    <s v="EQUIPO PERSONAL"/>
    <s v="EQUIPO PERSONAL"/>
    <m/>
    <m/>
    <m/>
    <m/>
    <s v="-"/>
    <s v="-"/>
    <x v="4"/>
    <s v="-"/>
    <s v="-"/>
    <s v="NO"/>
    <s v="NO"/>
  </r>
  <r>
    <n v="112"/>
    <x v="108"/>
    <s v="-"/>
    <x v="0"/>
    <x v="3"/>
    <n v="988624284"/>
    <s v="SAMSUNG"/>
    <s v="GALAXY A32"/>
    <n v="352396400156929"/>
    <s v="R58R60RYJBL"/>
    <m/>
    <m/>
    <m/>
    <m/>
    <d v="2024-02-16T00:00:00"/>
    <d v="2025-09-10T00:00:00"/>
    <x v="8"/>
    <s v="CLARO"/>
    <s v="MAX NEGOCIOS + 55.90"/>
    <s v="SI"/>
    <s v="SI"/>
  </r>
  <r>
    <n v="113"/>
    <x v="109"/>
    <s v="-"/>
    <x v="0"/>
    <x v="6"/>
    <n v="945290543"/>
    <s v="SAMSUNG"/>
    <s v="GALAXY A14"/>
    <n v="357494913801613"/>
    <s v="R5CW81PETZJ"/>
    <m/>
    <m/>
    <m/>
    <m/>
    <d v="2023-04-27T00:00:00"/>
    <d v="2024-02-09T00:00:00"/>
    <x v="15"/>
    <s v="CLARO"/>
    <s v="MAX NEGOCIOS + 55.90"/>
    <s v="NO"/>
    <s v="NO"/>
  </r>
  <r>
    <n v="114"/>
    <x v="110"/>
    <s v="-"/>
    <x v="0"/>
    <x v="3"/>
    <n v="913733673"/>
    <s v="SAMSUNG"/>
    <s v="GALAXY A22"/>
    <n v="350640425765673"/>
    <s v="R58T40FE2SK"/>
    <m/>
    <m/>
    <m/>
    <m/>
    <d v="2025-11-05T00:00:00"/>
    <d v="2024-12-18T00:00:00"/>
    <x v="6"/>
    <s v="CLARO"/>
    <s v="MAX NEGOCIOS + 55.90"/>
    <s v="SI"/>
    <s v="SI"/>
  </r>
  <r>
    <n v="115"/>
    <x v="111"/>
    <s v="-"/>
    <x v="0"/>
    <x v="3"/>
    <n v="983540552"/>
    <s v="SAMSUNG"/>
    <s v="GALAXY A24"/>
    <n v="356241324976505"/>
    <s v="R58W60Y3S3N"/>
    <m/>
    <m/>
    <m/>
    <m/>
    <d v="2024-01-10T00:00:00"/>
    <d v="2025-06-18T00:00:00"/>
    <x v="3"/>
    <s v="CLARO"/>
    <s v="MAX NEGOCIOS + 55.90"/>
    <s v="SI"/>
    <s v="SI"/>
  </r>
  <r>
    <n v="116"/>
    <x v="112"/>
    <s v="-"/>
    <x v="0"/>
    <x v="0"/>
    <n v="983582710"/>
    <s v="SAMSUNG"/>
    <s v="GALAXY A15"/>
    <n v="351456830435888"/>
    <s v="RF8X108Y8NY"/>
    <m/>
    <m/>
    <m/>
    <m/>
    <d v="2024-02-16T00:00:00"/>
    <d v="2024-02-23T00:00:00"/>
    <x v="8"/>
    <s v="CLARO"/>
    <s v="MAX NEGOCIOS + 55.90"/>
    <s v="NO"/>
    <s v="NO"/>
  </r>
  <r>
    <n v="117"/>
    <x v="113"/>
    <s v="-"/>
    <x v="0"/>
    <x v="18"/>
    <n v="987864314"/>
    <s v="SAMSUNG"/>
    <s v="GALAXY A24"/>
    <n v="356241324975788"/>
    <s v="R58W60Y3PXH"/>
    <m/>
    <m/>
    <m/>
    <m/>
    <d v="2024-01-10T00:00:00"/>
    <d v="2025-10-27T00:00:00"/>
    <x v="3"/>
    <s v="CLARO"/>
    <s v="MAX NEGOCIOS + 55.90"/>
    <s v="NO"/>
    <s v="NO"/>
  </r>
  <r>
    <n v="118"/>
    <x v="114"/>
    <s v="-"/>
    <x v="0"/>
    <x v="3"/>
    <n v="919280601"/>
    <s v="SAMSUNG"/>
    <s v="GALAXY A16"/>
    <n v="356034167911089"/>
    <s v="RF8YA08VQJL"/>
    <m/>
    <m/>
    <m/>
    <m/>
    <d v="2025-11-05T00:00:00"/>
    <d v="2025-11-11T00:00:00"/>
    <x v="6"/>
    <s v="CLARO"/>
    <s v="MAX NEGOCIOS + 55.90"/>
    <s v="SI"/>
    <s v="SI"/>
  </r>
  <r>
    <n v="120"/>
    <x v="115"/>
    <s v="-"/>
    <x v="0"/>
    <x v="10"/>
    <n v="981585173"/>
    <s v="SAMSUNG"/>
    <s v="GALAXY A22"/>
    <n v="358055380576365"/>
    <s v="R9WT10J2DBD"/>
    <m/>
    <m/>
    <m/>
    <m/>
    <d v="2024-01-10T00:00:00"/>
    <d v="2025-10-13T00:00:00"/>
    <x v="3"/>
    <s v="CLARO"/>
    <s v="MAX NEGOCIOS + 55.90"/>
    <s v="SI"/>
    <s v="SI"/>
  </r>
  <r>
    <n v="121"/>
    <x v="116"/>
    <s v="-"/>
    <x v="0"/>
    <x v="10"/>
    <n v="913732913"/>
    <s v="SAMSUNG"/>
    <s v="GALAXY A32"/>
    <n v="356263315606214"/>
    <s v="RF8R704EW0T"/>
    <m/>
    <m/>
    <m/>
    <m/>
    <d v="2025-03-31T00:00:00"/>
    <d v="2025-04-07T00:00:00"/>
    <x v="13"/>
    <s v="CLARO"/>
    <s v="MAX NEGOCIOS + 55.90"/>
    <s v="SI"/>
    <s v="SI"/>
  </r>
  <r>
    <n v="122"/>
    <x v="117"/>
    <s v="-"/>
    <x v="0"/>
    <x v="3"/>
    <n v="924891733"/>
    <s v="SAMSUNG"/>
    <s v="GALAXY A16"/>
    <n v="357269400485363"/>
    <s v="RF8Y710QWMZ"/>
    <m/>
    <m/>
    <m/>
    <m/>
    <d v="2025-09-11T00:00:00"/>
    <d v="2025-10-13T00:00:00"/>
    <x v="16"/>
    <s v="CLARO"/>
    <s v="MAX NEGOCIOS + 55.90"/>
    <s v="SI"/>
    <s v="SI"/>
  </r>
  <r>
    <n v="123"/>
    <x v="118"/>
    <s v="-"/>
    <x v="0"/>
    <x v="3"/>
    <n v="905433813"/>
    <s v="SAMSUNG"/>
    <s v="GALAXY A24"/>
    <n v="356241324969468"/>
    <s v="R58W60Y34RY"/>
    <m/>
    <m/>
    <m/>
    <m/>
    <d v="2024-01-10T00:00:00"/>
    <d v="2024-01-17T00:00:00"/>
    <x v="3"/>
    <s v="CLARO"/>
    <s v="MAX NEGOCIOS + 55.90"/>
    <s v="SI"/>
    <s v="SI"/>
  </r>
  <r>
    <n v="124"/>
    <x v="119"/>
    <s v="-"/>
    <x v="0"/>
    <x v="3"/>
    <n v="996896404"/>
    <s v="SAMSUNG"/>
    <s v="GALAXY A16"/>
    <n v="357269403152648"/>
    <s v="R58Y10C28FL"/>
    <m/>
    <m/>
    <m/>
    <m/>
    <d v="2025-03-31T00:00:00"/>
    <d v="2025-05-08T00:00:00"/>
    <x v="13"/>
    <s v="CLARO"/>
    <s v="MAX NEGOCIOS + 55.90"/>
    <s v="NO"/>
    <s v="NO"/>
  </r>
  <r>
    <n v="125"/>
    <x v="120"/>
    <s v="-"/>
    <x v="0"/>
    <x v="3"/>
    <n v="955460369"/>
    <s v="SAMSUNG"/>
    <s v="GALAXY A15"/>
    <n v="359104251115793"/>
    <s v="R58X901L1NH"/>
    <m/>
    <m/>
    <m/>
    <m/>
    <d v="2024-10-09T00:00:00"/>
    <d v="2024-10-21T00:00:00"/>
    <x v="9"/>
    <s v="CLARO"/>
    <s v="MAX NEGOCIOS + 55.90"/>
    <s v="SI"/>
    <s v="SI"/>
  </r>
  <r>
    <n v="135"/>
    <x v="121"/>
    <s v="-"/>
    <x v="0"/>
    <x v="9"/>
    <n v="963764418"/>
    <s v="SAMSUNG"/>
    <s v="GALAXY A56"/>
    <s v="352010505995384 / 353508195995381"/>
    <s v="R5GL123V5EK"/>
    <s v="256 GB"/>
    <s v="HOCO"/>
    <s v="C113"/>
    <s v="BJ-22K"/>
    <d v="2026-03-31T00:00:00"/>
    <s v="27/04/2026"/>
    <x v="19"/>
    <s v="CLARO"/>
    <s v="MAX NEGOCIOS + 55.90"/>
    <s v="NO"/>
    <s v="NO"/>
  </r>
  <r>
    <n v="126"/>
    <x v="122"/>
    <s v="-"/>
    <x v="0"/>
    <x v="15"/>
    <n v="991548581"/>
    <s v="SAMSUNG"/>
    <s v="GALAXY A16"/>
    <n v="356034165155796"/>
    <s v="RF8Y806QP1N"/>
    <m/>
    <m/>
    <m/>
    <m/>
    <d v="2025-11-05T00:00:00"/>
    <d v="2025-12-19T00:00:00"/>
    <x v="6"/>
    <s v="CLARO"/>
    <s v="MAX NEGOCIOS + 55.90"/>
    <s v="NO"/>
    <s v="NO"/>
  </r>
  <r>
    <n v="127"/>
    <x v="123"/>
    <s v="-"/>
    <x v="0"/>
    <x v="0"/>
    <n v="942122263"/>
    <s v="SAMSUNG"/>
    <s v="GALAXY A16"/>
    <n v="357269400472973"/>
    <s v="RF8Y710PR3E"/>
    <m/>
    <m/>
    <m/>
    <m/>
    <d v="2025-09-11T00:00:00"/>
    <d v="2025-10-29T00:00:00"/>
    <x v="16"/>
    <s v="CLARO"/>
    <s v="MAX NEGOCIOS + 55.90"/>
    <s v="NO"/>
    <s v="NO"/>
  </r>
  <r>
    <n v="128"/>
    <x v="124"/>
    <s v="-"/>
    <x v="0"/>
    <x v="20"/>
    <n v="945046961"/>
    <s v="APPLE"/>
    <s v="IPHONE 16 PLUS"/>
    <n v="351218523856949"/>
    <s v="MU0Y3BE/A"/>
    <m/>
    <m/>
    <m/>
    <m/>
    <d v="2025-04-11T00:00:00"/>
    <d v="2025-11-15T00:00:00"/>
    <x v="20"/>
    <s v="CLARO"/>
    <s v="MAX NEGOCIOS + ILIMITADO 109.90"/>
    <s v="NO"/>
    <s v="NO"/>
  </r>
  <r>
    <n v="129"/>
    <x v="125"/>
    <s v="-"/>
    <x v="0"/>
    <x v="1"/>
    <n v="948942820"/>
    <s v="SAMSUNG"/>
    <s v="GALAXY A16"/>
    <n v="357269403142722"/>
    <s v="R58Y10C1BDX"/>
    <m/>
    <m/>
    <m/>
    <m/>
    <d v="2025-03-31T00:00:00"/>
    <d v="2025-10-07T00:00:00"/>
    <x v="13"/>
    <s v="ENTEL"/>
    <s v="PLAN ENTEL - 67.90"/>
    <s v="NO"/>
    <s v="NO"/>
  </r>
  <r>
    <n v="130"/>
    <x v="126"/>
    <s v="-"/>
    <x v="0"/>
    <x v="3"/>
    <n v="977597543"/>
    <s v="SAMSUNG"/>
    <s v="GALAXY A32"/>
    <n v="352396400115883"/>
    <s v="R58R60N098H"/>
    <m/>
    <m/>
    <m/>
    <m/>
    <d v="2023-01-20T00:00:00"/>
    <d v="2025-10-20T00:00:00"/>
    <x v="0"/>
    <s v="CLARO"/>
    <s v="MAX NEGOCIOS + 55.90"/>
    <s v="SI"/>
    <s v="SI"/>
  </r>
  <r>
    <n v="131"/>
    <x v="127"/>
    <s v="-"/>
    <x v="0"/>
    <x v="10"/>
    <n v="973211634"/>
    <s v="SAMSUNG"/>
    <s v="GALAXY A31"/>
    <n v="358785932276565"/>
    <s v="R58NB4EPW6T"/>
    <m/>
    <m/>
    <m/>
    <m/>
    <d v="2023-01-20T00:00:00"/>
    <d v="2025-08-18T00:00:00"/>
    <x v="0"/>
    <s v="CLARO"/>
    <s v="MAX NEGOCIOS + 55.90"/>
    <s v="SI"/>
    <s v="SI"/>
  </r>
  <r>
    <n v="132"/>
    <x v="128"/>
    <s v="-"/>
    <x v="0"/>
    <x v="3"/>
    <n v="942115866"/>
    <s v="SAMSUNG"/>
    <s v="GALAXY A14"/>
    <n v="357494912391335"/>
    <s v="R5CW510FF2M"/>
    <m/>
    <m/>
    <m/>
    <m/>
    <d v="2024-02-07T00:00:00"/>
    <d v="2025-07-16T00:00:00"/>
    <x v="3"/>
    <s v="CLARO"/>
    <s v="MAX NEGOCIOS + 55.90"/>
    <s v="SI"/>
    <s v="SI"/>
  </r>
  <r>
    <n v="141"/>
    <x v="129"/>
    <s v="-"/>
    <x v="0"/>
    <x v="10"/>
    <n v="994113757"/>
    <s v="SAMSUNG"/>
    <s v="GALAXY A15"/>
    <n v="359104250628952"/>
    <s v="R58X71A01HB"/>
    <m/>
    <m/>
    <m/>
    <m/>
    <d v="2025-01-16T00:00:00"/>
    <d v="2025-01-21T00:00:00"/>
    <x v="1"/>
    <s v="CLARO"/>
    <s v="MAX NEGOCIOS + 55.90"/>
    <s v="NO"/>
    <s v="NO"/>
  </r>
  <r>
    <n v="144"/>
    <x v="130"/>
    <s v="-"/>
    <x v="0"/>
    <x v="10"/>
    <n v="933673488"/>
    <s v="SAMSUNG"/>
    <s v="GALAXY A32"/>
    <n v="356263315573695"/>
    <s v="R5CW50YYR0D"/>
    <s v="128 GB"/>
    <m/>
    <m/>
    <m/>
    <d v="2023-01-20T00:00:00"/>
    <d v="2025-04-04T00:00:00"/>
    <x v="0"/>
    <s v="CLARO"/>
    <s v="MAX NEGOCIOS + 55.90"/>
    <s v="NO"/>
    <s v="NO"/>
  </r>
  <r>
    <n v="40"/>
    <x v="131"/>
    <s v="GHEREL TOCAS"/>
    <x v="0"/>
    <x v="9"/>
    <n v="945287867"/>
    <s v="SAMSUNG"/>
    <s v="GALAXY A15"/>
    <n v="351456832073414"/>
    <s v="RF8XA042J7J"/>
    <m/>
    <m/>
    <m/>
    <m/>
    <d v="2025-01-16T00:00:00"/>
    <d v="2025-01-21T00:00:00"/>
    <x v="1"/>
    <s v="CLARO"/>
    <s v="MAX NEGOCIOS + ILIMITADO 69.90"/>
    <s v="NO"/>
    <s v="NO"/>
  </r>
  <r>
    <n v="51"/>
    <x v="131"/>
    <s v="JACQUELYN ESTRADA"/>
    <x v="0"/>
    <x v="7"/>
    <n v="983546931"/>
    <s v="SAMSUNG"/>
    <s v="GALAXY A16"/>
    <n v="357269400224531"/>
    <s v="RF8Y50GDF8M"/>
    <m/>
    <m/>
    <m/>
    <m/>
    <d v="2025-07-15T00:00:00"/>
    <d v="2025-07-17T00:00:00"/>
    <x v="14"/>
    <s v="CLARO"/>
    <s v="MAX NEGOCIOS + 55.90"/>
    <s v="NO"/>
    <s v="NO"/>
  </r>
  <r>
    <n v="136"/>
    <x v="131"/>
    <s v="CELULAR NUEVO"/>
    <x v="0"/>
    <x v="9"/>
    <m/>
    <s v="SAMSUNG"/>
    <s v="GALAXY A26 5G"/>
    <n v="350182153364601"/>
    <s v="R5CY907SHQD"/>
    <m/>
    <m/>
    <m/>
    <m/>
    <d v="2026-04-08T00:00:00"/>
    <m/>
    <x v="19"/>
    <s v="-"/>
    <s v="-"/>
    <s v="NO"/>
    <s v="NO"/>
  </r>
  <r>
    <n v="137"/>
    <x v="131"/>
    <s v="CELULAR NUEVO"/>
    <x v="0"/>
    <x v="9"/>
    <m/>
    <s v="SAMSUNG"/>
    <s v="GALAXY A26 5G"/>
    <n v="350182153316478"/>
    <s v="R5CY83W4HQE"/>
    <m/>
    <m/>
    <m/>
    <m/>
    <d v="2026-04-08T00:00:00"/>
    <m/>
    <x v="19"/>
    <s v="-"/>
    <s v="-"/>
    <s v="NO"/>
    <s v="NO"/>
  </r>
  <r>
    <n v="138"/>
    <x v="131"/>
    <s v="CELULAR NUEVO"/>
    <x v="0"/>
    <x v="9"/>
    <m/>
    <s v="SAMSUNG"/>
    <s v="GALAXY A26 5G"/>
    <n v="350182153326725"/>
    <s v="R5CY83W5FSZ"/>
    <m/>
    <m/>
    <m/>
    <m/>
    <d v="2026-04-08T00:00:00"/>
    <m/>
    <x v="19"/>
    <s v="-"/>
    <s v="-"/>
    <s v="NO"/>
    <s v="NO"/>
  </r>
  <r>
    <n v="139"/>
    <x v="131"/>
    <s v="DANARI DE LA PUENTE"/>
    <x v="0"/>
    <x v="3"/>
    <n v="933348147"/>
    <s v="SAMSUNG"/>
    <s v="GALAXY A14"/>
    <n v="357494911582249"/>
    <s v="R5CW30EMABZ"/>
    <m/>
    <m/>
    <m/>
    <m/>
    <d v="2023-07-11T00:00:00"/>
    <d v="2025-11-10T00:00:00"/>
    <x v="2"/>
    <s v="CLARO"/>
    <s v="MAX NEGOCIOS + 55.90"/>
    <s v="SI"/>
    <s v="SI"/>
  </r>
  <r>
    <n v="140"/>
    <x v="131"/>
    <s v="FRANCISCO OTERO"/>
    <x v="0"/>
    <x v="9"/>
    <s v="-"/>
    <s v="APPLE"/>
    <s v="IPHONE 12"/>
    <n v="353241895946039"/>
    <s v="-"/>
    <m/>
    <m/>
    <m/>
    <m/>
    <s v="-"/>
    <d v="2021-08-20T00:00:00"/>
    <x v="4"/>
    <s v="-"/>
    <s v="-"/>
    <s v="NO"/>
    <s v="NO"/>
  </r>
  <r>
    <n v="142"/>
    <x v="131"/>
    <s v="JERRY SATALAYA"/>
    <x v="1"/>
    <x v="3"/>
    <n v="943566297"/>
    <s v="-"/>
    <s v="-"/>
    <s v="-"/>
    <s v="-"/>
    <m/>
    <m/>
    <m/>
    <m/>
    <s v="-"/>
    <s v="-"/>
    <x v="4"/>
    <s v="CLARO"/>
    <s v="MAX NEGOCIOS + 55.91"/>
    <s v="SI"/>
    <s v="SI"/>
  </r>
  <r>
    <n v="143"/>
    <x v="131"/>
    <s v="JUAN MALLQUI"/>
    <x v="1"/>
    <x v="3"/>
    <n v="987864336"/>
    <s v="-"/>
    <s v="-"/>
    <s v="-"/>
    <s v="-"/>
    <s v=" "/>
    <m/>
    <m/>
    <m/>
    <s v="-"/>
    <s v="-"/>
    <x v="4"/>
    <s v="CLARO"/>
    <s v="MAX NEGOCIOS + 55.92"/>
    <s v="SI"/>
    <s v="SI"/>
  </r>
  <r>
    <n v="145"/>
    <x v="131"/>
    <s v="MARIO VILLEGAS"/>
    <x v="0"/>
    <x v="15"/>
    <n v="933659350"/>
    <s v="SAMSUNG"/>
    <s v="GALAXY A14"/>
    <n v="357494913788091"/>
    <s v="R5CW81PDL0E"/>
    <s v="128 GB"/>
    <m/>
    <m/>
    <m/>
    <d v="2023-07-11T00:00:00"/>
    <d v="2025-01-06T00:00:00"/>
    <x v="2"/>
    <s v="CLARO"/>
    <s v="MAX NEGOCIOS + 55.90"/>
    <s v="NO"/>
    <s v="NO"/>
  </r>
  <r>
    <n v="146"/>
    <x v="131"/>
    <s v="MARYSABEL BORDA"/>
    <x v="1"/>
    <x v="3"/>
    <n v="973211887"/>
    <s v="-"/>
    <s v="-"/>
    <s v="-"/>
    <s v="-"/>
    <m/>
    <m/>
    <m/>
    <m/>
    <s v="-"/>
    <s v="-"/>
    <x v="4"/>
    <s v="CLARO"/>
    <s v="MAX NEGOCIOS + 55.93"/>
    <s v="SI"/>
    <s v="SI"/>
  </r>
  <r>
    <n v="147"/>
    <x v="131"/>
    <s v="SANDRA JUAREZ"/>
    <x v="1"/>
    <x v="0"/>
    <n v="913737297"/>
    <s v="-"/>
    <s v="-"/>
    <s v="-"/>
    <s v="-"/>
    <m/>
    <m/>
    <m/>
    <m/>
    <s v="-"/>
    <s v="-"/>
    <x v="4"/>
    <s v="CLARO"/>
    <s v="MAX NEGOCIOS + 55.90"/>
    <s v="NO"/>
    <s v="NO"/>
  </r>
  <r>
    <n v="148"/>
    <x v="131"/>
    <s v="SUSANA BENITES"/>
    <x v="0"/>
    <x v="1"/>
    <n v="961436504"/>
    <s v="SAMSUNG"/>
    <s v="GALAXY A23"/>
    <n v="350391901390657"/>
    <s v="R58TB0Z716A"/>
    <m/>
    <m/>
    <m/>
    <m/>
    <d v="2023-01-20T00:00:00"/>
    <d v="2025-03-18T00:00:00"/>
    <x v="0"/>
    <s v="CLARO"/>
    <s v="MAX NEGOCIOS + 55.90"/>
    <s v="NO"/>
    <s v="NO"/>
  </r>
  <r>
    <n v="149"/>
    <x v="131"/>
    <s v="WALTER RUIZ"/>
    <x v="0"/>
    <x v="9"/>
    <s v="-"/>
    <s v="APPLE"/>
    <s v="IPHONE 12 PRO"/>
    <n v="356696722712598"/>
    <s v="-"/>
    <s v="128 GB"/>
    <m/>
    <m/>
    <m/>
    <s v="-"/>
    <d v="2021-04-16T00:00:00"/>
    <x v="4"/>
    <s v="-"/>
    <s v="-"/>
    <s v="NO"/>
    <s v="NO"/>
  </r>
  <r>
    <n v="150"/>
    <x v="131"/>
    <s v="XIOMARA MIO"/>
    <x v="1"/>
    <x v="3"/>
    <n v="926953535"/>
    <s v="-"/>
    <s v="-"/>
    <s v="-"/>
    <s v="-"/>
    <m/>
    <m/>
    <m/>
    <m/>
    <s v="-"/>
    <s v="-"/>
    <x v="4"/>
    <s v="CLARO"/>
    <s v="MAX NEGOCIOS + 55.90"/>
    <s v="SI"/>
    <s v="S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84A6A-33BB-49E6-95A2-7E8D17CA24E1}" name="TablaDinámica2" cacheId="14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7:B39" firstHeaderRow="1" firstDataRow="1" firstDataCol="1" rowPageCount="1" colPageCount="1"/>
  <pivotFields count="21">
    <pivotField showAll="0"/>
    <pivotField axis="axisPage" dataField="1" multipleItemSelectionAllowed="1" showAll="0">
      <items count="1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m="1" x="132"/>
        <item x="40"/>
        <item x="41"/>
        <item x="42"/>
        <item x="43"/>
        <item x="44"/>
        <item x="45"/>
        <item x="46"/>
        <item x="47"/>
        <item x="48"/>
        <item x="49"/>
        <item m="1" x="134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m="1" x="13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29"/>
        <item x="115"/>
        <item h="1" x="131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8"/>
        <item h="1" x="36"/>
        <item h="1" x="121"/>
        <item h="1" x="130"/>
        <item t="default"/>
      </items>
    </pivotField>
    <pivotField showAll="0"/>
    <pivotField showAll="0">
      <items count="3">
        <item x="0"/>
        <item x="1"/>
        <item t="default"/>
      </items>
    </pivotField>
    <pivotField axis="axisRow" showAll="0">
      <items count="24">
        <item m="1" x="21"/>
        <item x="6"/>
        <item x="10"/>
        <item x="11"/>
        <item x="0"/>
        <item x="8"/>
        <item x="1"/>
        <item x="5"/>
        <item x="3"/>
        <item x="18"/>
        <item x="14"/>
        <item x="2"/>
        <item x="20"/>
        <item x="16"/>
        <item x="19"/>
        <item x="13"/>
        <item x="15"/>
        <item x="4"/>
        <item x="12"/>
        <item x="7"/>
        <item x="17"/>
        <item x="9"/>
        <item m="1"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pageFields count="1">
    <pageField fld="1" hier="-1"/>
  </pageFields>
  <dataFields count="1">
    <dataField name="Cuenta de USUARI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D0544-7D73-4D03-AA0A-F26BFC0D6C7E}" name="TablaDinámica10" cacheId="14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E76:F89" firstHeaderRow="1" firstDataRow="1" firstDataCol="1" rowPageCount="2" colPageCount="1"/>
  <pivotFields count="23">
    <pivotField showAll="0"/>
    <pivotField showAll="0"/>
    <pivotField axis="axisPage" dataField="1" multipleItemSelectionAllowed="1" showAll="0">
      <items count="140">
        <item x="0"/>
        <item x="1"/>
        <item x="2"/>
        <item x="3"/>
        <item x="4"/>
        <item m="1" x="136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m="1" x="137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m="1" x="138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h="1" x="135"/>
        <item x="121"/>
        <item x="122"/>
        <item x="123"/>
        <item x="124"/>
        <item x="125"/>
        <item x="126"/>
        <item x="128"/>
        <item x="129"/>
        <item x="130"/>
        <item x="131"/>
        <item x="132"/>
        <item x="133"/>
        <item x="134"/>
        <item h="1" x="5"/>
        <item h="1" x="71"/>
        <item h="1" x="127"/>
        <item t="default"/>
      </items>
    </pivotField>
    <pivotField showAll="0"/>
    <pivotField showAll="0">
      <items count="3">
        <item x="1"/>
        <item x="0"/>
        <item t="default"/>
      </items>
    </pivotField>
    <pivotField axis="axisRow" showAll="0">
      <items count="20">
        <item sd="0" x="16"/>
        <item sd="0" x="10"/>
        <item x="11"/>
        <item sd="0" x="0"/>
        <item sd="0" x="1"/>
        <item sd="0" x="5"/>
        <item sd="0" x="3"/>
        <item sd="0" x="13"/>
        <item sd="0" x="2"/>
        <item x="6"/>
        <item x="18"/>
        <item x="14"/>
        <item sd="0" x="12"/>
        <item sd="0" x="17"/>
        <item sd="0" x="4"/>
        <item sd="0" x="8"/>
        <item x="7"/>
        <item x="15"/>
        <item sd="0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7">
        <item h="1" x="1"/>
        <item h="1" x="22"/>
        <item h="1" x="25"/>
        <item h="1" m="1" x="60"/>
        <item h="1" x="21"/>
        <item h="1" x="39"/>
        <item h="1" x="7"/>
        <item h="1" x="34"/>
        <item h="1" x="8"/>
        <item h="1" m="1" x="53"/>
        <item h="1" m="1" x="55"/>
        <item h="1" x="5"/>
        <item h="1" x="26"/>
        <item h="1" x="38"/>
        <item h="1" x="45"/>
        <item h="1" x="37"/>
        <item h="1" m="1" x="56"/>
        <item h="1" x="18"/>
        <item h="1" m="1" x="54"/>
        <item x="17"/>
        <item m="1" x="52"/>
        <item x="9"/>
        <item m="1" x="57"/>
        <item x="19"/>
        <item x="29"/>
        <item x="47"/>
        <item x="4"/>
        <item x="41"/>
        <item x="40"/>
        <item x="36"/>
        <item x="3"/>
        <item m="1" x="63"/>
        <item x="20"/>
        <item x="43"/>
        <item x="2"/>
        <item m="1" x="62"/>
        <item m="1" x="59"/>
        <item x="27"/>
        <item x="24"/>
        <item x="0"/>
        <item m="1" x="51"/>
        <item x="6"/>
        <item m="1" x="64"/>
        <item m="1" x="65"/>
        <item m="1" x="61"/>
        <item m="1" x="58"/>
        <item x="13"/>
        <item h="1" x="10"/>
        <item h="1" x="11"/>
        <item h="1" x="12"/>
        <item h="1" x="14"/>
        <item h="1" x="15"/>
        <item h="1" x="16"/>
        <item h="1" x="23"/>
        <item h="1" x="28"/>
        <item h="1" x="30"/>
        <item h="1" x="31"/>
        <item h="1" x="32"/>
        <item h="1" x="33"/>
        <item h="1" x="35"/>
        <item h="1" x="42"/>
        <item h="1" x="44"/>
        <item h="1" x="46"/>
        <item h="1" x="48"/>
        <item h="1" x="49"/>
        <item h="1" x="50"/>
        <item t="default"/>
      </items>
    </pivotField>
  </pivotFields>
  <rowFields count="1">
    <field x="5"/>
  </rowFields>
  <rowItems count="13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12"/>
    </i>
    <i>
      <x v="13"/>
    </i>
    <i>
      <x v="15"/>
    </i>
    <i>
      <x v="18"/>
    </i>
    <i t="grand">
      <x/>
    </i>
  </rowItems>
  <colItems count="1">
    <i/>
  </colItems>
  <pageFields count="2">
    <pageField fld="2" hier="-1"/>
    <pageField fld="22" hier="-1"/>
  </pageFields>
  <dataFields count="1">
    <dataField name="Cuenta de USUARIO ASIGNADO" fld="2" subtotal="count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3C7C8D-A3B3-4CEC-A7E4-9FF5386273F4}" name="TablaDinámica17" cacheId="14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E152:F168" firstHeaderRow="1" firstDataRow="1" firstDataCol="1"/>
  <pivotFields count="8">
    <pivotField showAll="0"/>
    <pivotField showAll="0"/>
    <pivotField dataField="1" showAll="0"/>
    <pivotField showAll="0"/>
    <pivotField axis="axisRow" showAll="0">
      <items count="16">
        <item x="5"/>
        <item x="0"/>
        <item x="14"/>
        <item x="11"/>
        <item x="1"/>
        <item x="6"/>
        <item x="12"/>
        <item x="10"/>
        <item x="2"/>
        <item x="13"/>
        <item x="7"/>
        <item x="9"/>
        <item x="3"/>
        <item x="8"/>
        <item x="4"/>
        <item t="default"/>
      </items>
    </pivotField>
    <pivotField showAll="0"/>
    <pivotField showAll="0"/>
    <pivotField showAll="0"/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uenta de USUARIO ASIGNADO" fld="2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86E77F-8435-4C42-8AFB-2D19A87DD2CF}" name="TablaDinámica21" cacheId="14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>
  <location ref="A137:B143" firstHeaderRow="1" firstDataRow="1" firstDataCol="1"/>
  <pivotFields count="8">
    <pivotField showAll="0"/>
    <pivotField axis="axisRow"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USUARIO" fld="4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E339A-DB17-4701-9886-AE711971E56E}" name="TablaDinámica18" cacheId="14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78:B181" firstHeaderRow="1" firstDataRow="1" firstDataCol="1"/>
  <pivotFields count="13"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numFmtId="14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uenta de USUARIO" fld="1" subtotal="count" baseField="0" baseItem="0"/>
  </dataFields>
  <chartFormats count="3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18BCF4-B7CF-48B7-9BEF-D570B016C39D}" name="TablaDinámica5" cacheId="14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E66:F69" firstHeaderRow="1" firstDataRow="1" firstDataCol="1" rowPageCount="1" colPageCount="1"/>
  <pivotFields count="23">
    <pivotField showAll="0"/>
    <pivotField showAll="0"/>
    <pivotField axis="axisPage" dataField="1" multipleItemSelectionAllowed="1" showAll="0">
      <items count="140">
        <item h="1" x="0"/>
        <item h="1" x="1"/>
        <item h="1" x="2"/>
        <item h="1" x="3"/>
        <item h="1" x="4"/>
        <item h="1" m="1" x="136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m="1" x="137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m="1" x="138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x="135"/>
        <item h="1" x="121"/>
        <item h="1" x="122"/>
        <item h="1" x="123"/>
        <item h="1" x="124"/>
        <item h="1" x="125"/>
        <item h="1" x="126"/>
        <item h="1" x="128"/>
        <item h="1" x="129"/>
        <item h="1" x="130"/>
        <item h="1" x="131"/>
        <item h="1" x="132"/>
        <item h="1" x="133"/>
        <item h="1" x="134"/>
        <item h="1" x="5"/>
        <item h="1" x="71"/>
        <item h="1" x="127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>
      <items count="20">
        <item x="16"/>
        <item x="10"/>
        <item x="11"/>
        <item x="0"/>
        <item x="1"/>
        <item x="5"/>
        <item x="3"/>
        <item x="13"/>
        <item x="2"/>
        <item x="6"/>
        <item x="18"/>
        <item x="14"/>
        <item x="12"/>
        <item x="17"/>
        <item x="4"/>
        <item x="8"/>
        <item x="7"/>
        <item x="1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Cuenta de USUARIO ASIGNADO" fld="2" subtotal="count" baseField="0" baseItem="0"/>
  </dataFields>
  <chartFormats count="3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4AD27-C538-4114-BC1E-683E3F44BF03}" name="TablaDinámica6" cacheId="14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E17:F24" firstHeaderRow="1" firstDataRow="1" firstDataCol="1" rowPageCount="2" colPageCount="1"/>
  <pivotFields count="21">
    <pivotField showAll="0"/>
    <pivotField axis="axisPage" dataField="1" multipleItemSelectionAllowed="1" showAll="0">
      <items count="1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m="1" x="132"/>
        <item x="40"/>
        <item x="41"/>
        <item x="42"/>
        <item x="43"/>
        <item x="44"/>
        <item x="45"/>
        <item x="46"/>
        <item x="47"/>
        <item x="48"/>
        <item x="49"/>
        <item m="1" x="134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m="1" x="13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29"/>
        <item x="115"/>
        <item h="1" x="131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8"/>
        <item h="1" x="36"/>
        <item h="1" x="121"/>
        <item h="1" x="130"/>
        <item t="default"/>
      </items>
    </pivotField>
    <pivotField showAll="0"/>
    <pivotField showAll="0">
      <items count="3">
        <item x="0"/>
        <item x="1"/>
        <item t="default"/>
      </items>
    </pivotField>
    <pivotField axis="axisRow" showAll="0">
      <items count="24">
        <item m="1" x="21"/>
        <item x="6"/>
        <item x="10"/>
        <item x="11"/>
        <item x="0"/>
        <item x="8"/>
        <item x="1"/>
        <item x="5"/>
        <item x="3"/>
        <item x="18"/>
        <item x="14"/>
        <item x="2"/>
        <item x="20"/>
        <item x="16"/>
        <item x="19"/>
        <item x="13"/>
        <item x="15"/>
        <item x="4"/>
        <item x="12"/>
        <item x="7"/>
        <item x="17"/>
        <item x="9"/>
        <item m="1"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1">
        <item h="1" x="4"/>
        <item h="1" m="1" x="28"/>
        <item h="1" x="19"/>
        <item h="1" m="1" x="23"/>
        <item h="1" x="16"/>
        <item h="1" m="1" x="29"/>
        <item h="1" x="20"/>
        <item h="1" m="1" x="25"/>
        <item h="1" m="1" x="22"/>
        <item h="1" m="1" x="27"/>
        <item h="1" x="9"/>
        <item h="1" x="18"/>
        <item h="1" m="1" x="24"/>
        <item h="1" m="1" x="26"/>
        <item h="1" x="8"/>
        <item h="1" x="3"/>
        <item h="1" x="7"/>
        <item h="1" x="2"/>
        <item x="15"/>
        <item m="1" x="21"/>
        <item h="1" x="14"/>
        <item h="1" x="0"/>
        <item h="1" x="1"/>
        <item h="1" x="5"/>
        <item h="1" x="6"/>
        <item h="1" x="10"/>
        <item h="1" x="11"/>
        <item h="1" x="12"/>
        <item h="1" x="13"/>
        <item h="1" x="17"/>
        <item t="default"/>
      </items>
    </pivotField>
    <pivotField showAll="0"/>
    <pivotField showAll="0"/>
    <pivotField showAll="0"/>
    <pivotField showAll="0"/>
  </pivotFields>
  <rowFields count="1">
    <field x="4"/>
  </rowFields>
  <rowItems count="7">
    <i>
      <x v="1"/>
    </i>
    <i>
      <x v="2"/>
    </i>
    <i>
      <x v="3"/>
    </i>
    <i>
      <x v="6"/>
    </i>
    <i>
      <x v="8"/>
    </i>
    <i>
      <x v="11"/>
    </i>
    <i t="grand">
      <x/>
    </i>
  </rowItems>
  <colItems count="1">
    <i/>
  </colItems>
  <pageFields count="2">
    <pageField fld="1" hier="-1"/>
    <pageField fld="16" hier="-1"/>
  </pageFields>
  <dataFields count="1">
    <dataField name="Cuenta de USUARIO" fld="1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45447-DBF9-4ADF-A18D-2FDD9C94C693}" name="TablaDinámica16" cacheId="14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52:B154" firstHeaderRow="1" firstDataRow="1" firstDataCol="1"/>
  <pivotFields count="8">
    <pivotField showAll="0"/>
    <pivotField showAll="0"/>
    <pivotField dataField="1"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dataFields count="1">
    <dataField name="Cuenta de USUARIO ASIGNADO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95DEC9-B01C-493B-A67A-6219DEE1AFFA}" name="TablaDinámica12" cacheId="14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103:B106" firstHeaderRow="1" firstDataRow="1" firstDataCol="1"/>
  <pivotFields count="21"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uenta de USUARIO" fld="2" subtotal="count" baseField="0" baseItem="0"/>
  </dataFields>
  <chartFormats count="3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C5093-5DA4-4014-A74A-52FEA9993B4B}" name="TablaDinámica14" cacheId="14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E128:F133" firstHeaderRow="1" firstDataRow="1" firstDataCol="1"/>
  <pivotFields count="8"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USUARIO" fld="4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C6FB9-CF69-410C-8B18-164149B1A59E}" name="TablaDinámica20" cacheId="14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93:B197" firstHeaderRow="1" firstDataRow="1" firstDataCol="1"/>
  <pivotFields count="5"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MODELO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524D2-1A1C-47F2-9638-18CB1EF4F420}" name="TablaDinámica22" cacheId="14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E193:F197" firstHeaderRow="1" firstDataRow="1" firstDataCol="1"/>
  <pivotFields count="5"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ESTADO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763C7-0FC9-4CDB-B8E7-47556EEE7FB4}" name="TablaDinámica1" cacheId="14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7:B10" firstHeaderRow="1" firstDataRow="1" firstDataCol="1" rowPageCount="1" colPageCount="1"/>
  <pivotFields count="21">
    <pivotField showAll="0"/>
    <pivotField axis="axisPage" dataField="1" multipleItemSelectionAllowed="1" showAll="0">
      <items count="1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m="1" x="132"/>
        <item x="40"/>
        <item x="41"/>
        <item x="42"/>
        <item x="43"/>
        <item x="44"/>
        <item x="45"/>
        <item x="46"/>
        <item x="47"/>
        <item x="48"/>
        <item x="49"/>
        <item m="1" x="134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m="1" x="13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29"/>
        <item x="115"/>
        <item h="1" x="131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8"/>
        <item h="1" x="36"/>
        <item h="1" x="121"/>
        <item h="1" x="130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>
      <items count="24">
        <item m="1" x="21"/>
        <item x="6"/>
        <item x="10"/>
        <item x="11"/>
        <item x="0"/>
        <item x="8"/>
        <item x="1"/>
        <item x="5"/>
        <item x="3"/>
        <item x="18"/>
        <item x="14"/>
        <item x="2"/>
        <item x="20"/>
        <item x="16"/>
        <item x="19"/>
        <item x="13"/>
        <item x="15"/>
        <item x="4"/>
        <item x="12"/>
        <item x="7"/>
        <item x="17"/>
        <item x="9"/>
        <item m="1"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" hier="-1"/>
  </pageFields>
  <dataFields count="1">
    <dataField name="Cuenta de USUARIO" fld="1" subtotal="count" baseField="0" baseItem="0"/>
  </dataField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8FB50-E3E6-438D-A25E-CF2D9AAD8C64}" name="TablaDinámica4" cacheId="14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66:B69" firstHeaderRow="1" firstDataRow="1" firstDataCol="1" rowPageCount="1" colPageCount="1"/>
  <pivotFields count="23">
    <pivotField showAll="0"/>
    <pivotField showAll="0"/>
    <pivotField axis="axisPage" dataField="1" multipleItemSelectionAllowed="1" showAll="0">
      <items count="140">
        <item x="0"/>
        <item x="1"/>
        <item x="2"/>
        <item x="3"/>
        <item x="4"/>
        <item m="1" x="136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m="1" x="137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m="1" x="138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h="1" x="135"/>
        <item x="121"/>
        <item x="122"/>
        <item x="123"/>
        <item x="124"/>
        <item x="125"/>
        <item x="126"/>
        <item x="128"/>
        <item x="129"/>
        <item x="130"/>
        <item x="131"/>
        <item x="132"/>
        <item x="133"/>
        <item x="134"/>
        <item h="1" x="5"/>
        <item h="1" x="71"/>
        <item h="1" x="127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>
      <items count="20">
        <item x="16"/>
        <item x="10"/>
        <item x="11"/>
        <item x="0"/>
        <item x="1"/>
        <item x="5"/>
        <item x="3"/>
        <item x="13"/>
        <item x="2"/>
        <item x="6"/>
        <item x="18"/>
        <item x="14"/>
        <item x="12"/>
        <item x="17"/>
        <item x="4"/>
        <item x="8"/>
        <item x="7"/>
        <item x="1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Cuenta de USUARIO ASIGNADO" fld="2" subtotal="count" baseField="0" baseItem="0"/>
  </dataFields>
  <chartFormats count="3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1A06CA-A080-47FF-8860-82AEA095A2BC}" name="TablaDinámica19" cacheId="14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E178:F184" firstHeaderRow="1" firstDataRow="1" firstDataCol="1"/>
  <pivotFields count="13">
    <pivotField showAll="0"/>
    <pivotField dataField="1" showAll="0"/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" showAll="0"/>
    <pivotField showAll="0"/>
    <pivotField numFmtId="14" showAll="0"/>
    <pivotField showAll="0"/>
    <pivotField showAll="0"/>
  </pivotFields>
  <rowFields count="2">
    <field x="2"/>
    <field x="3"/>
  </rowFields>
  <rowItems count="6">
    <i>
      <x/>
    </i>
    <i r="1">
      <x/>
    </i>
    <i r="1">
      <x v="1"/>
    </i>
    <i>
      <x v="1"/>
    </i>
    <i r="1">
      <x v="1"/>
    </i>
    <i t="grand">
      <x/>
    </i>
  </rowItems>
  <colItems count="1">
    <i/>
  </colItems>
  <dataFields count="1">
    <dataField name="Cuenta de USUARIO" fld="1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0BD743-47A7-44D3-BCAD-97D3BA18245D}" name="TablaDinámica11" cacheId="14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E100:F118" firstHeaderRow="1" firstDataRow="1" firstDataCol="1" rowPageCount="2" colPageCount="1"/>
  <pivotFields count="23">
    <pivotField showAll="0"/>
    <pivotField showAll="0"/>
    <pivotField axis="axisPage" dataField="1" multipleItemSelectionAllowed="1" showAll="0">
      <items count="140">
        <item x="0"/>
        <item x="1"/>
        <item x="2"/>
        <item x="3"/>
        <item x="4"/>
        <item m="1" x="136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m="1" x="137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m="1" x="138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h="1" x="135"/>
        <item x="121"/>
        <item x="122"/>
        <item x="123"/>
        <item x="124"/>
        <item x="125"/>
        <item x="126"/>
        <item x="128"/>
        <item x="129"/>
        <item x="130"/>
        <item x="131"/>
        <item x="132"/>
        <item x="133"/>
        <item x="134"/>
        <item h="1" x="5"/>
        <item h="1" x="71"/>
        <item h="1" x="127"/>
        <item t="default"/>
      </items>
    </pivotField>
    <pivotField showAll="0"/>
    <pivotField showAll="0">
      <items count="3">
        <item x="1"/>
        <item x="0"/>
        <item t="default"/>
      </items>
    </pivotField>
    <pivotField axis="axisRow" showAll="0">
      <items count="20">
        <item sd="0" x="16"/>
        <item sd="0" x="10"/>
        <item sd="0" x="11"/>
        <item sd="0" x="0"/>
        <item sd="0" x="1"/>
        <item sd="0" x="5"/>
        <item sd="0" x="3"/>
        <item sd="0" x="13"/>
        <item sd="0" x="2"/>
        <item sd="0" x="6"/>
        <item sd="0" x="18"/>
        <item sd="0" x="14"/>
        <item sd="0" x="12"/>
        <item sd="0" x="17"/>
        <item sd="0" x="4"/>
        <item sd="0" x="8"/>
        <item sd="0" x="7"/>
        <item sd="0" x="15"/>
        <item sd="0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7">
        <item x="1"/>
        <item x="22"/>
        <item x="25"/>
        <item m="1" x="60"/>
        <item x="21"/>
        <item x="39"/>
        <item x="7"/>
        <item x="34"/>
        <item x="8"/>
        <item m="1" x="53"/>
        <item m="1" x="55"/>
        <item x="5"/>
        <item x="26"/>
        <item x="38"/>
        <item x="45"/>
        <item x="37"/>
        <item m="1" x="56"/>
        <item x="18"/>
        <item m="1" x="54"/>
        <item h="1" x="17"/>
        <item h="1" m="1" x="52"/>
        <item h="1" x="9"/>
        <item h="1" m="1" x="57"/>
        <item h="1" x="19"/>
        <item h="1" x="29"/>
        <item h="1" x="47"/>
        <item h="1" x="4"/>
        <item h="1" x="41"/>
        <item h="1" x="40"/>
        <item h="1" x="36"/>
        <item h="1" x="3"/>
        <item h="1" m="1" x="63"/>
        <item h="1" x="20"/>
        <item h="1" x="43"/>
        <item h="1" x="2"/>
        <item h="1" m="1" x="62"/>
        <item h="1" m="1" x="59"/>
        <item h="1" x="27"/>
        <item h="1" x="24"/>
        <item h="1" x="0"/>
        <item h="1" m="1" x="51"/>
        <item h="1" x="6"/>
        <item h="1" m="1" x="64"/>
        <item h="1" m="1" x="65"/>
        <item h="1" m="1" x="61"/>
        <item h="1" m="1" x="58"/>
        <item h="1" x="13"/>
        <item h="1" x="10"/>
        <item h="1" x="11"/>
        <item h="1" x="12"/>
        <item h="1" x="14"/>
        <item h="1" x="15"/>
        <item h="1" x="16"/>
        <item h="1" x="23"/>
        <item h="1" x="28"/>
        <item h="1" x="30"/>
        <item h="1" x="31"/>
        <item h="1" x="32"/>
        <item h="1" x="33"/>
        <item h="1" x="35"/>
        <item h="1" x="42"/>
        <item h="1" x="44"/>
        <item h="1" x="46"/>
        <item h="1" x="48"/>
        <item h="1" x="49"/>
        <item h="1" x="50"/>
        <item t="default"/>
      </items>
    </pivotField>
  </pivotFields>
  <rowFields count="1">
    <field x="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5"/>
    </i>
    <i>
      <x v="16"/>
    </i>
    <i>
      <x v="17"/>
    </i>
    <i>
      <x v="18"/>
    </i>
    <i t="grand">
      <x/>
    </i>
  </rowItems>
  <colItems count="1">
    <i/>
  </colItems>
  <pageFields count="2">
    <pageField fld="2" hier="-1"/>
    <pageField fld="22" hier="-1"/>
  </pageFields>
  <dataFields count="1">
    <dataField name="Cuenta de USUARIO ASIGNADO" fld="2" subtotal="count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249D9E-9D7B-4BE0-822A-946C748F7EE3}" name="TablaDinámica13" cacheId="14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128:B131" firstHeaderRow="1" firstDataRow="1" firstDataCol="1"/>
  <pivotFields count="8"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uenta de USUARIO" fld="4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B9E0E-542C-4EBA-837C-3964B54E856C}" name="TablaDinámica9" cacheId="14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76:B95" firstHeaderRow="1" firstDataRow="1" firstDataCol="1" rowPageCount="1" colPageCount="1"/>
  <pivotFields count="23">
    <pivotField showAll="0"/>
    <pivotField showAll="0"/>
    <pivotField axis="axisPage" dataField="1" multipleItemSelectionAllowed="1" showAll="0">
      <items count="140">
        <item x="0"/>
        <item x="1"/>
        <item x="2"/>
        <item x="3"/>
        <item x="4"/>
        <item m="1" x="136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m="1" x="137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m="1" x="138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h="1" x="135"/>
        <item x="121"/>
        <item x="122"/>
        <item x="123"/>
        <item x="124"/>
        <item x="125"/>
        <item x="126"/>
        <item x="128"/>
        <item x="129"/>
        <item x="130"/>
        <item x="131"/>
        <item x="132"/>
        <item x="133"/>
        <item x="134"/>
        <item h="1" x="5"/>
        <item h="1" x="71"/>
        <item h="1" x="127"/>
        <item t="default"/>
      </items>
    </pivotField>
    <pivotField showAll="0"/>
    <pivotField showAll="0">
      <items count="3">
        <item x="1"/>
        <item x="0"/>
        <item t="default"/>
      </items>
    </pivotField>
    <pivotField axis="axisRow" showAll="0">
      <items count="20">
        <item x="16"/>
        <item x="10"/>
        <item x="11"/>
        <item x="0"/>
        <item x="1"/>
        <item x="5"/>
        <item x="3"/>
        <item x="13"/>
        <item x="2"/>
        <item x="6"/>
        <item x="18"/>
        <item x="14"/>
        <item x="12"/>
        <item x="17"/>
        <item x="4"/>
        <item x="8"/>
        <item x="7"/>
        <item x="1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8"/>
    </i>
    <i t="grand">
      <x/>
    </i>
  </rowItems>
  <colItems count="1">
    <i/>
  </colItems>
  <pageFields count="1">
    <pageField fld="2" hier="-1"/>
  </pageFields>
  <dataFields count="1">
    <dataField name="Cuenta de USUARIO ASIGNADO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A03F43-8AC3-46BC-8F4A-6BAE0EEAA405}" name="TablaDinámica7" cacheId="14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E32:F51" firstHeaderRow="1" firstDataRow="1" firstDataCol="1" rowPageCount="2" colPageCount="1"/>
  <pivotFields count="21">
    <pivotField showAll="0"/>
    <pivotField axis="axisPage" dataField="1" multipleItemSelectionAllowed="1" showAll="0">
      <items count="1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m="1" x="132"/>
        <item x="40"/>
        <item x="41"/>
        <item x="42"/>
        <item x="43"/>
        <item x="44"/>
        <item x="45"/>
        <item x="46"/>
        <item x="47"/>
        <item x="48"/>
        <item x="49"/>
        <item m="1" x="134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m="1" x="13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29"/>
        <item x="115"/>
        <item h="1" x="131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8"/>
        <item h="1" x="36"/>
        <item h="1" x="121"/>
        <item h="1" x="130"/>
        <item t="default"/>
      </items>
    </pivotField>
    <pivotField showAll="0"/>
    <pivotField showAll="0">
      <items count="3">
        <item x="0"/>
        <item x="1"/>
        <item t="default"/>
      </items>
    </pivotField>
    <pivotField axis="axisRow" showAll="0">
      <items count="24">
        <item m="1" x="21"/>
        <item sd="0" x="6"/>
        <item sd="0" x="10"/>
        <item sd="0" x="11"/>
        <item sd="0" x="0"/>
        <item sd="0" x="8"/>
        <item sd="0" x="1"/>
        <item sd="0" x="5"/>
        <item sd="0" x="3"/>
        <item sd="0" x="18"/>
        <item sd="0" x="14"/>
        <item sd="0" x="2"/>
        <item sd="0" x="20"/>
        <item sd="0" x="16"/>
        <item sd="0" x="19"/>
        <item sd="0" x="13"/>
        <item sd="0" x="15"/>
        <item sd="0" x="4"/>
        <item sd="0" x="12"/>
        <item sd="0" x="7"/>
        <item sd="0" x="17"/>
        <item sd="0" x="9"/>
        <item m="1"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1">
        <item x="4"/>
        <item m="1" x="28"/>
        <item x="19"/>
        <item m="1" x="23"/>
        <item x="16"/>
        <item m="1" x="29"/>
        <item x="20"/>
        <item m="1" x="25"/>
        <item m="1" x="22"/>
        <item m="1" x="27"/>
        <item x="9"/>
        <item x="18"/>
        <item m="1" x="24"/>
        <item m="1" x="26"/>
        <item x="8"/>
        <item x="3"/>
        <item x="7"/>
        <item x="2"/>
        <item h="1" x="15"/>
        <item h="1" m="1" x="21"/>
        <item h="1" x="14"/>
        <item h="1" x="0"/>
        <item h="1" x="1"/>
        <item h="1" x="5"/>
        <item h="1" x="6"/>
        <item h="1" x="10"/>
        <item h="1" x="11"/>
        <item h="1" x="12"/>
        <item h="1" x="13"/>
        <item h="1" x="17"/>
        <item t="default"/>
      </items>
    </pivotField>
    <pivotField showAll="0"/>
    <pivotField showAll="0"/>
    <pivotField showAll="0"/>
    <pivotField showAll="0"/>
  </pivotFields>
  <rowFields count="1">
    <field x="4"/>
  </rowFields>
  <rowItems count="19"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1"/>
    </i>
    <i t="grand">
      <x/>
    </i>
  </rowItems>
  <colItems count="1">
    <i/>
  </colItems>
  <pageFields count="2">
    <pageField fld="1" hier="-1"/>
    <pageField fld="16" hier="-1"/>
  </pageFields>
  <dataFields count="1">
    <dataField name="Cuenta de USUARIO" fld="1" subtotal="count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F4D83-1289-4F0F-BA41-C3714C2FC321}" name="TablaDinámica3" cacheId="14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E7:F10" firstHeaderRow="1" firstDataRow="1" firstDataCol="1" rowPageCount="1" colPageCount="1"/>
  <pivotFields count="21">
    <pivotField showAll="0"/>
    <pivotField axis="axisPage" dataField="1" multipleItemSelectionAllowed="1" showAll="0">
      <items count="150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7"/>
        <item h="1" x="38"/>
        <item h="1" x="39"/>
        <item h="1" m="1" x="132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m="1" x="134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m="1" x="133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29"/>
        <item h="1" x="115"/>
        <item x="131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h="1" x="116"/>
        <item h="1" x="117"/>
        <item h="1" x="118"/>
        <item h="1" x="119"/>
        <item h="1" x="120"/>
        <item h="1" x="122"/>
        <item h="1" x="123"/>
        <item h="1" x="124"/>
        <item h="1" x="125"/>
        <item h="1" x="126"/>
        <item h="1" x="127"/>
        <item h="1" x="128"/>
        <item h="1" x="36"/>
        <item h="1" x="121"/>
        <item h="1" x="130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>
      <items count="24">
        <item m="1" x="21"/>
        <item x="6"/>
        <item x="10"/>
        <item x="11"/>
        <item x="0"/>
        <item x="8"/>
        <item x="1"/>
        <item x="5"/>
        <item x="3"/>
        <item x="18"/>
        <item x="14"/>
        <item x="2"/>
        <item x="20"/>
        <item x="16"/>
        <item x="19"/>
        <item x="13"/>
        <item x="15"/>
        <item x="4"/>
        <item x="12"/>
        <item x="7"/>
        <item x="17"/>
        <item x="9"/>
        <item m="1"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" hier="-1"/>
  </pageFields>
  <dataFields count="1">
    <dataField name="Cuenta de USUARIO" fld="1" subtotal="count" baseField="0" baseItem="0"/>
  </dataField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E4D31-D303-4319-89C2-43C669B82D0A}" name="TablaDinámica8" cacheId="140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45:B50" firstHeaderRow="1" firstDataRow="1" firstDataCol="1"/>
  <pivotFields count="18">
    <pivotField showAll="0"/>
    <pivotField dataField="1"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numFmtI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USUARIO" fld="1" subtotal="count" baseField="0" baseItem="0"/>
  </dataFields>
  <chartFormats count="5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EQUIPO" xr10:uid="{43BB51D0-18DE-4D52-93A3-9C309D9B8334}" sourceName="TIPO EQUIPO">
  <pivotTables>
    <pivotTable tabId="12" name="TablaDinámica1"/>
    <pivotTable tabId="12" name="TablaDinámica2"/>
    <pivotTable tabId="12" name="TablaDinámica3"/>
    <pivotTable tabId="12" name="TablaDinámica6"/>
    <pivotTable tabId="12" name="TablaDinámica7"/>
  </pivotTables>
  <data>
    <tabular pivotCacheId="1966340575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ÁREA" xr10:uid="{B51E8D56-8699-4A90-9B42-9ED4BF6E937B}" sourceName="ÁREA">
  <pivotTables>
    <pivotTable tabId="12" name="TablaDinámica3"/>
    <pivotTable tabId="12" name="TablaDinámica1"/>
    <pivotTable tabId="12" name="TablaDinámica2"/>
    <pivotTable tabId="12" name="TablaDinámica6"/>
    <pivotTable tabId="12" name="TablaDinámica7"/>
  </pivotTables>
  <data>
    <tabular pivotCacheId="1966340575">
      <items count="23">
        <i x="6" s="1"/>
        <i x="10" s="1"/>
        <i x="11" s="1"/>
        <i x="0" s="1"/>
        <i x="8" s="1"/>
        <i x="1" s="1"/>
        <i x="5" s="1"/>
        <i x="3" s="1"/>
        <i x="18" s="1"/>
        <i x="14" s="1"/>
        <i x="2" s="1"/>
        <i x="20" s="1"/>
        <i x="16" s="1"/>
        <i x="19" s="1"/>
        <i x="13" s="1"/>
        <i x="15" s="1"/>
        <i x="4" s="1"/>
        <i x="12" s="1"/>
        <i x="7" s="1"/>
        <i x="17" s="1"/>
        <i x="9" s="1"/>
        <i x="21" s="1" nd="1"/>
        <i x="22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E_EQUIPO" xr10:uid="{A0FBADF6-5DB0-4FF1-9933-CAB03364BA2F}" sourceName="TIPO DE EQUIPO">
  <pivotTables>
    <pivotTable tabId="12" name="TablaDinámica4"/>
    <pivotTable tabId="12" name="TablaDinámica10"/>
    <pivotTable tabId="12" name="TablaDinámica11"/>
    <pivotTable tabId="12" name="TablaDinámica5"/>
    <pivotTable tabId="12" name="TablaDinámica9"/>
  </pivotTables>
  <data>
    <tabular pivotCacheId="144442436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ÁREA1" xr10:uid="{B12508B8-9D01-42F4-8525-F1602C676AF1}" sourceName="ÁREA">
  <pivotTables>
    <pivotTable tabId="12" name="TablaDinámica5"/>
    <pivotTable tabId="12" name="TablaDinámica10"/>
    <pivotTable tabId="12" name="TablaDinámica11"/>
    <pivotTable tabId="12" name="TablaDinámica4"/>
    <pivotTable tabId="12" name="TablaDinámica9"/>
  </pivotTables>
  <data>
    <tabular pivotCacheId="144442436">
      <items count="19">
        <i x="16" s="1"/>
        <i x="10" s="1"/>
        <i x="11" s="1"/>
        <i x="0" s="1"/>
        <i x="1" s="1"/>
        <i x="5" s="1"/>
        <i x="3" s="1"/>
        <i x="13" s="1"/>
        <i x="2" s="1"/>
        <i x="6" s="1"/>
        <i x="18" s="1"/>
        <i x="14" s="1"/>
        <i x="12" s="1"/>
        <i x="17" s="1"/>
        <i x="4" s="1"/>
        <i x="8" s="1"/>
        <i x="7" s="1"/>
        <i x="15" s="1"/>
        <i x="9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EQUIPO" xr10:uid="{3ABC296D-5492-4D36-86F3-009941C2075E}" cache="SegmentaciónDeDatos_TIPO_EQUIPO" caption="TIPO EQUIPO" style="SlicerStyleDark4" rowHeight="257175"/>
  <slicer name="ÁREA" xr10:uid="{1CDAF494-0598-41CC-9C3F-8D073999F130}" cache="SegmentaciónDeDatos_ÁREA" caption="ÁREA" style="SlicerStyleDark4" rowHeight="257175"/>
  <slicer name="TIPO DE EQUIPO" xr10:uid="{23D51C07-98FD-4DF9-ABC4-1F157577F1CF}" cache="SegmentaciónDeDatos_TIPO_DE_EQUIPO" caption="TIPO DE EQUIPO" style="SlicerStyleDark4" rowHeight="257175"/>
  <slicer name="ÁREA 1" xr10:uid="{985EA82F-2FAF-4CCE-9C2E-D45F9B8A7218}" cache="SegmentaciónDeDatos_ÁREA1" caption="ÁREA" startItem="11" style="SlicerStyleDark4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DFBF973-5DC1-4DE7-A1B7-EB27449C8FD5}" name="Tabla15" displayName="Tabla15" ref="B1:N152" totalsRowShown="0" headerRowDxfId="180" dataDxfId="179">
  <autoFilter ref="B1:N152" xr:uid="{1DFBF973-5DC1-4DE7-A1B7-EB27449C8FD5}"/>
  <tableColumns count="13">
    <tableColumn id="1" xr3:uid="{34972D7B-D37B-43B4-8823-5EF58419B7FA}" name="DNI - CE" dataDxfId="178"/>
    <tableColumn id="13" xr3:uid="{FB37DDAE-527D-47CE-A8DA-46038C49A2AA}" name="USUARIO" dataDxfId="177"/>
    <tableColumn id="2" xr3:uid="{38F20D22-E574-4767-B438-D5CAB555D1F3}" name="NOMBRES Y APELLIDOS" dataDxfId="176"/>
    <tableColumn id="3" xr3:uid="{51225E12-0082-456E-941D-8782593D1A53}" name="CARGO" dataDxfId="175"/>
    <tableColumn id="6" xr3:uid="{3B31E596-C37C-4046-9E5C-7B1856C4EF90}" name="ESTADO" dataDxfId="174"/>
    <tableColumn id="9" xr3:uid="{165CF49A-43D8-49B4-B0B7-0E69DE562F86}" name="ÁREA" dataDxfId="173"/>
    <tableColumn id="7" xr3:uid="{36EDB5EF-A899-4BE7-8084-0E8F8925A08B}" name="SUPERVISOR" dataDxfId="172"/>
    <tableColumn id="8" xr3:uid="{79941832-D62C-4486-8F67-3DA4874AD4D1}" name="PLAN COMERCIAL" dataDxfId="171"/>
    <tableColumn id="10" xr3:uid="{D30BE16C-3E23-4B56-A724-62AF98CAD2B1}" name="CORREOS OUTLOOK" dataDxfId="170"/>
    <tableColumn id="12" xr3:uid="{ED50ECE8-8C8A-448E-B8F7-4EB25074958B}" name="CORREOS GMAIL" dataDxfId="169"/>
    <tableColumn id="11" xr3:uid="{F0CE8665-B181-4E88-B910-5DE78A092327}" name="CONTRASEÑAS GMAIL" dataDxfId="168"/>
    <tableColumn id="5" xr3:uid="{464F2E94-60CB-4F97-9A1B-B02A46BFBE9E}" name="NOMBRES Y APELLIDOS (min)" dataDxfId="167">
      <calculatedColumnFormula>PROPER(Tabla15[[#This Row],[NOMBRES Y APELLIDOS]])</calculatedColumnFormula>
    </tableColumn>
    <tableColumn id="4" xr3:uid="{CE230068-7D87-48D0-A539-3A9077F90102}" name="CARGO (min)" dataDxfId="166">
      <calculatedColumnFormula>PROPER(Tabla15[[#This Row],[CARGO]])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2B1BEC-8455-4EFF-89B6-A89227897F38}" name="Tabla4" displayName="Tabla4" ref="A1:G176" totalsRowShown="0" headerRowDxfId="165" dataDxfId="164">
  <autoFilter ref="A1:G176" xr:uid="{042B1BEC-8455-4EFF-89B6-A89227897F38}"/>
  <tableColumns count="7">
    <tableColumn id="1" xr3:uid="{060309AC-6D91-437A-93BE-B421B2D100AC}" name="DNI" dataDxfId="163"/>
    <tableColumn id="2" xr3:uid="{96C32D80-61EC-4971-8BA9-73FC34EECF65}" name="NOMBRES Y APELLIDOS" dataDxfId="162"/>
    <tableColumn id="3" xr3:uid="{EDF98A3C-C6ED-4FE9-975E-19BBA9E662AF}" name="PUESTO" dataDxfId="161"/>
    <tableColumn id="4" xr3:uid="{C77DCF6B-8AE3-4B5C-8E46-4643A8894705}" name="ÁREA" dataDxfId="160"/>
    <tableColumn id="5" xr3:uid="{6BC590A8-A5E5-4C66-9E9C-02B10381794C}" name="ESTADO" dataDxfId="159"/>
    <tableColumn id="6" xr3:uid="{0AE06CB2-51A3-4BB2-B3DC-8BCEFFDAD419}" name="TRABAJO - CENTRO DE COSTO" dataDxfId="158"/>
    <tableColumn id="7" xr3:uid="{50DBC3BD-5B45-4317-8B4F-6C8562C4FDDC}" name="MAYUSCULAS" dataDxfId="157">
      <calculatedColumnFormula>UPPER(B2)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E90006-D931-4FDC-8AEC-369EE3039BC1}" name="Tabla1" displayName="Tabla1" ref="A1:U148" totalsRowShown="0" headerRowDxfId="156" dataDxfId="155">
  <autoFilter ref="A1:U148" xr:uid="{79E90006-D931-4FDC-8AEC-369EE3039BC1}"/>
  <sortState xmlns:xlrd2="http://schemas.microsoft.com/office/spreadsheetml/2017/richdata2" ref="A2:U148">
    <sortCondition sortBy="cellColor" ref="B1" dxfId="154"/>
  </sortState>
  <tableColumns count="21">
    <tableColumn id="1" xr3:uid="{DA4BC441-07A3-4127-BB6A-E3E28A8DEC8C}" name="N°" dataDxfId="153"/>
    <tableColumn id="2" xr3:uid="{4CDFE3F9-481C-48EB-9894-EE9E9394D91F}" name="USUARIO" dataDxfId="152"/>
    <tableColumn id="18" xr3:uid="{FA6A0FFA-D80D-4BD0-B35F-B2E102C91B01}" name="USUARIO ANTERIOR PERTENECIENTE" dataDxfId="151"/>
    <tableColumn id="3" xr3:uid="{FF27246B-1EE8-4023-A9C0-4BCF6DDEB480}" name="TIPO EQUIPO" dataDxfId="150"/>
    <tableColumn id="4" xr3:uid="{966365E4-3F2E-4126-958C-A4B84F560BF9}" name="ÁREA" dataDxfId="149"/>
    <tableColumn id="5" xr3:uid="{45E6A0FD-5F7F-4D1A-9917-B191774F8E93}" name="NÚM ASIGNADO" dataDxfId="148"/>
    <tableColumn id="6" xr3:uid="{1E7E5D33-428D-4E89-88F3-4888E5C446C4}" name="MARCA" dataDxfId="147"/>
    <tableColumn id="7" xr3:uid="{CA4DDF26-A162-450E-892F-0F2A9081ABEE}" name="MODELO" dataDxfId="146"/>
    <tableColumn id="8" xr3:uid="{5E7C8B3E-73D7-4E8C-BFEB-55019C34E945}" name="IMEI" dataDxfId="145"/>
    <tableColumn id="9" xr3:uid="{08973757-1AE6-469C-9A4A-F0F238E6E7EF}" name="SN DEL CELULAR" dataDxfId="144"/>
    <tableColumn id="10" xr3:uid="{26C4F6AA-8FD2-4F53-A6A1-6A4848E4E016}" name="ALMACENAMIENTO" dataDxfId="143"/>
    <tableColumn id="20" xr3:uid="{4A34F76A-6CA6-4275-8C22-4B67D2D0FF99}" name="MARCA CARGADOR" dataDxfId="142"/>
    <tableColumn id="19" xr3:uid="{61958089-0860-4486-9E00-F592C137C96A}" name="MODELO CARGADOR" dataDxfId="141"/>
    <tableColumn id="21" xr3:uid="{E315A07E-BFAD-489D-A952-2BA91EB6A148}" name="SN CARGADOR" dataDxfId="140"/>
    <tableColumn id="11" xr3:uid="{7F6D5D44-0FF0-4A02-9D2D-8BB8CE2C6679}" name="FECHA DE COMPRA CEL" dataDxfId="139"/>
    <tableColumn id="12" xr3:uid="{B10F9740-BBF8-40DB-86EB-4985D16ACB89}" name="FECHA DE ASIGNACIÓN" dataDxfId="138"/>
    <tableColumn id="13" xr3:uid="{A70387BC-7EBB-46BE-A53D-A0ABC02CF854}" name="TIEMPO DE USO" dataDxfId="137">
      <calculatedColumnFormula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calculatedColumnFormula>
    </tableColumn>
    <tableColumn id="14" xr3:uid="{10979834-9F17-43AA-8EBE-752AAE5CE027}" name="OPERADOR" dataDxfId="136"/>
    <tableColumn id="15" xr3:uid="{782C37DE-DB7D-4B12-83EC-835A5F555614}" name="PLAN TELEFÓNICO" dataDxfId="135"/>
    <tableColumn id="16" xr3:uid="{1D192400-5C72-459D-93FE-95E0B0C35EA9}" name="MDM" dataDxfId="134"/>
    <tableColumn id="17" xr3:uid="{8CC1D46B-085E-4306-AFA6-E51808B59ACA}" name="ETRACK" dataDxfId="133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51895D-A845-40F4-8025-9D89DEAAE7B2}" name="Tabla2" displayName="Tabla2" ref="A1:W169" totalsRowShown="0" headerRowDxfId="132" dataDxfId="131">
  <autoFilter ref="A1:W169" xr:uid="{FA51895D-A845-40F4-8025-9D89DEAAE7B2}"/>
  <tableColumns count="23">
    <tableColumn id="1" xr3:uid="{6F16E3F2-CCC3-47E9-80E7-457FC79ABCEA}" name="N°" dataDxfId="130"/>
    <tableColumn id="2" xr3:uid="{5AAA90CB-2B19-4A96-8AA0-58945E43445F}" name="CÓDIGO DE ACTIVO" dataDxfId="129"/>
    <tableColumn id="3" xr3:uid="{2C7E8A35-3254-4DAE-9008-6407A4515F63}" name="USUARIO ASIGNADO" dataDxfId="128"/>
    <tableColumn id="22" xr3:uid="{482B58DD-4953-45F9-BCE9-8CB21282528C}" name="USUARIO ANTERIOR PERTENECIENTE" dataDxfId="127"/>
    <tableColumn id="4" xr3:uid="{9CC79E47-3142-415D-8CEC-C07E725834D6}" name="TIPO DE EQUIPO" dataDxfId="126"/>
    <tableColumn id="5" xr3:uid="{4F8BB695-6EE5-419E-ADBA-4507AB4F3FAF}" name="ÁREA" dataDxfId="125"/>
    <tableColumn id="6" xr3:uid="{D0B30364-C4DA-4D85-9128-B24852EA8AC3}" name="HOSTNAME" dataDxfId="124"/>
    <tableColumn id="7" xr3:uid="{98A2F5DA-E9FB-4E00-8336-ABF97F03347A}" name="MARCA" dataDxfId="123"/>
    <tableColumn id="8" xr3:uid="{383AA54A-282F-49C6-A0C0-F90370749453}" name="MODELO" dataDxfId="122"/>
    <tableColumn id="9" xr3:uid="{8082EAE6-DB43-46CE-B251-6F676F790A4E}" name="SN" dataDxfId="121"/>
    <tableColumn id="10" xr3:uid="{C14AC10E-9167-4C39-AF59-2F4A83064979}" name="PROCESADOR" dataDxfId="120"/>
    <tableColumn id="11" xr3:uid="{E291C39F-948D-415A-A092-01EFBB436BC9}" name="GEN PROCESADOR" dataDxfId="119"/>
    <tableColumn id="23" xr3:uid="{5B794796-6F78-4128-B199-09C5D797E09F}" name="GHZ" dataDxfId="118"/>
    <tableColumn id="12" xr3:uid="{AB7502F0-39F7-4DD0-BEAC-20F2A8D98AC4}" name="RAM" dataDxfId="117"/>
    <tableColumn id="13" xr3:uid="{4F58D7FA-A69A-45B8-9BC5-915732BDE81F}" name="DISCO DURO" dataDxfId="116"/>
    <tableColumn id="14" xr3:uid="{611039F1-32F2-47E5-BCBA-449603200F5C}" name="PANTALLA" dataDxfId="115"/>
    <tableColumn id="15" xr3:uid="{A4A086E1-BBAB-476C-8B14-6FD6E627574D}" name="SO" dataDxfId="114"/>
    <tableColumn id="16" xr3:uid="{99B5BDBE-5843-42EF-83B8-04893E55F546}" name="OFFICE" dataDxfId="113"/>
    <tableColumn id="17" xr3:uid="{6C9A8295-BDAA-464C-A2F4-B132FC3DF838}" name="MODELO CARGADOR" dataDxfId="112"/>
    <tableColumn id="18" xr3:uid="{B93CC6B8-3F68-4842-92B9-AC90E2B970A7}" name="SN - CT CARGADOR" dataDxfId="111"/>
    <tableColumn id="19" xr3:uid="{DAEA1BBA-9F5A-45FF-8266-7D7041908C8C}" name="FECHA DE COMPRA" dataDxfId="110"/>
    <tableColumn id="21" xr3:uid="{CB420690-C9F1-46E4-B816-FE90D931BF42}" name="FECHA DE ASIGNACIÓN" dataDxfId="109"/>
    <tableColumn id="20" xr3:uid="{A1DA0604-0B6E-4470-93EE-C0B7971996AE}" name="TIEMPO DE USO" dataDxfId="108">
      <calculatedColumnFormula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calculatedColumnFormula>
    </tableColumn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454F85-30C9-42F6-B41B-B1FEF2C038BE}" name="Tabla5" displayName="Tabla5" ref="A1:W76" totalsRowShown="0" headerRowDxfId="107" dataDxfId="106">
  <autoFilter ref="A1:W76" xr:uid="{5C454F85-30C9-42F6-B41B-B1FEF2C038BE}"/>
  <tableColumns count="23">
    <tableColumn id="1" xr3:uid="{79998C37-7C57-4BFD-AB36-0E5DF5A90F68}" name="N°" dataDxfId="105"/>
    <tableColumn id="2" xr3:uid="{0F25D2D2-4C43-4B80-B9B0-7D03A7560B39}" name="CÓDIGO ACTIVO" dataDxfId="104"/>
    <tableColumn id="3" xr3:uid="{1662174B-029A-4F17-AD46-4A01DF015548}" name="USUARIO" dataDxfId="103"/>
    <tableColumn id="4" xr3:uid="{DE181B44-8E46-4FD3-8EEB-15E43E614F61}" name="TIPO EQUIPO" dataDxfId="102"/>
    <tableColumn id="5" xr3:uid="{AA1794D9-C303-4562-8829-918FB07A5FAA}" name="ÁREA" dataDxfId="101"/>
    <tableColumn id="6" xr3:uid="{F2E8C07C-626F-44B5-B46D-EE26FBCE4067}" name="ESTADO" dataDxfId="100"/>
    <tableColumn id="7" xr3:uid="{B6EA7557-5FF3-4A1D-8468-526AD201E6E3}" name="N° TELEFONO" dataDxfId="99"/>
    <tableColumn id="8" xr3:uid="{98A5E274-AA5D-410D-AFAA-172365C273DA}" name="HOSTNAME" dataDxfId="98"/>
    <tableColumn id="9" xr3:uid="{F9A043F9-425F-46C8-A82D-FC1BA8E7CBA5}" name="MARCA2" dataDxfId="97"/>
    <tableColumn id="10" xr3:uid="{6A1E7DC8-B429-41EB-8F6C-33E0E9778FB9}" name="MODELO" dataDxfId="96"/>
    <tableColumn id="11" xr3:uid="{C3CA4524-6F7C-477C-BD6A-8B498C005AFD}" name="IMEI" dataDxfId="95"/>
    <tableColumn id="12" xr3:uid="{193AFD25-481E-4F6E-92B1-33831DCA7127}" name="SN DEL CELULAR" dataDxfId="94"/>
    <tableColumn id="13" xr3:uid="{6D1255DB-10D3-4DAF-90E4-DB5556A7D0D2}" name="ALMACENAMIENTO" dataDxfId="93"/>
    <tableColumn id="14" xr3:uid="{2594A7E8-0DA0-4F63-99E6-C39731620C3D}" name="FECHA DE COMPRA " dataDxfId="92"/>
    <tableColumn id="15" xr3:uid="{BECC560E-4F35-4634-B616-E1CFF4F2A71D}" name="FECHA DE ENTREGA" dataDxfId="91"/>
    <tableColumn id="16" xr3:uid="{31478D11-9CB5-4753-9D83-2FFFAF65DB79}" name="OPERADOR" dataDxfId="90"/>
    <tableColumn id="17" xr3:uid="{8F565333-1BE6-4305-BC97-2D822900B5E2}" name="INFO" dataDxfId="89"/>
    <tableColumn id="18" xr3:uid="{3497A779-2883-4563-A85E-2FC70FE83DBE}" name="RAM" dataDxfId="88"/>
    <tableColumn id="19" xr3:uid="{FAFCA684-6126-4C70-8C98-21212F845EB7}" name="PANTALLA" dataDxfId="87"/>
    <tableColumn id="20" xr3:uid="{072BAA16-6067-4AF0-B947-3BCC59155E3A}" name="SO" dataDxfId="86"/>
    <tableColumn id="21" xr3:uid="{72BAFD8A-4AE9-4DF0-9450-1C40E6C5C9FB}" name="OFFICE" dataDxfId="85"/>
    <tableColumn id="22" xr3:uid="{F59FC180-D2B6-41EB-B5BD-5264CD6CC5D0}" name="MOD CARGADOR" dataDxfId="84"/>
    <tableColumn id="23" xr3:uid="{53171414-7B5C-4D80-9496-B45D86D5CE87}" name="CT CARGADOR" dataDxfId="83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147AD57-C086-4E06-844F-2210872FAAF2}" name="Tabla8" displayName="Tabla8" ref="A1:H28" totalsRowShown="0" headerRowDxfId="82" dataDxfId="81">
  <autoFilter ref="A1:H28" xr:uid="{A147AD57-C086-4E06-844F-2210872FAAF2}"/>
  <tableColumns count="8">
    <tableColumn id="1" xr3:uid="{60FFE973-649D-4D77-97F6-C2994DE8B062}" name="TIPO EQUIPO" dataDxfId="80"/>
    <tableColumn id="2" xr3:uid="{3086020D-006E-4E9C-8C71-6009FDA645C9}" name="MARCA" dataDxfId="79"/>
    <tableColumn id="3" xr3:uid="{CF61E06B-F0AB-483A-B729-39B12EBCB1C4}" name="MODELO" dataDxfId="78"/>
    <tableColumn id="4" xr3:uid="{205A1E8D-0D4B-44B9-A141-0D4DF0B79E54}" name="SN" dataDxfId="77"/>
    <tableColumn id="5" xr3:uid="{A0E70459-EC7F-4297-8AA4-1C8CAA094B1F}" name="USUARIO" dataDxfId="76"/>
    <tableColumn id="6" xr3:uid="{5387B9CD-9D63-4B90-9F6A-B9B9861E61C8}" name="IP" dataDxfId="75"/>
    <tableColumn id="7" xr3:uid="{90F86420-292E-4875-9050-72525A7D7259}" name="SEDE" dataDxfId="74"/>
    <tableColumn id="8" xr3:uid="{89A2380E-396F-4797-9E89-20A1092CBC66}" name="ESTADO" dataDxfId="73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03DF7CE-BC72-4C22-8775-2A6A78CC9472}" name="Tabla9" displayName="Tabla9" ref="A1:H32" totalsRowShown="0" headerRowDxfId="72" dataDxfId="71">
  <autoFilter ref="A1:H32" xr:uid="{203DF7CE-BC72-4C22-8775-2A6A78CC9472}"/>
  <tableColumns count="8">
    <tableColumn id="1" xr3:uid="{1E953D89-7873-4CF1-8E2E-19338D8F6D83}" name="N°" dataDxfId="70"/>
    <tableColumn id="2" xr3:uid="{3F92A15F-8F16-4C61-B16F-A2CAE17B6E1D}" name="CÓDIGO ACTIVO" dataDxfId="69"/>
    <tableColumn id="3" xr3:uid="{27EE1C5F-F52C-431D-9A98-75C51C09FE1C}" name="USUARIO ASIGNADO" dataDxfId="68"/>
    <tableColumn id="4" xr3:uid="{1C0F6A7F-F484-4F7E-B751-AA0E66DFC465}" name="TIPO EQUIPO" dataDxfId="67"/>
    <tableColumn id="5" xr3:uid="{CDA4413D-078C-4289-9528-86259062FCFA}" name="ÁREA" dataDxfId="66"/>
    <tableColumn id="6" xr3:uid="{09BD2F1C-D02A-4653-87A8-789CD734F376}" name="MARCA" dataDxfId="65"/>
    <tableColumn id="7" xr3:uid="{4ECB1F97-0534-4C79-AA3D-94C3E31F9076}" name="MODELO" dataDxfId="64"/>
    <tableColumn id="8" xr3:uid="{A0E5BA79-AE93-474C-89B7-76D53F5A86E9}" name="SN" dataDxfId="63"/>
  </tableColumns>
  <tableStyleInfo name="TableStyleMedium1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97AC90-D6D7-499E-9F23-B615B48E4CD6}" name="Tabla3" displayName="Tabla3" ref="A1:C92" totalsRowShown="0" headerRowDxfId="62">
  <autoFilter ref="A1:C92" xr:uid="{4797AC90-D6D7-499E-9F23-B615B48E4CD6}"/>
  <tableColumns count="3">
    <tableColumn id="1" xr3:uid="{E670899C-94EF-4DBC-A9F4-00AF12C3D65C}" name="REGLAS"/>
    <tableColumn id="2" xr3:uid="{119C8AA5-F3CD-40CB-9239-37E955725895}" name="USUARIO" dataDxfId="61"/>
    <tableColumn id="3" xr3:uid="{835C8423-BE17-49B7-8580-41F7A485080C}" name="CORREOS" dataDxfId="60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214901A-79CD-43CC-9030-E580D98D13E2}" name="Tabla10" displayName="Tabla10" ref="A1:F12" totalsRowShown="0" headerRowDxfId="54" dataDxfId="53">
  <autoFilter ref="A1:F12" xr:uid="{E214901A-79CD-43CC-9030-E580D98D13E2}"/>
  <tableColumns count="6">
    <tableColumn id="1" xr3:uid="{75BF4899-CBD6-4E0E-8F71-B0B87479C54A}" name="N°" dataDxfId="52"/>
    <tableColumn id="2" xr3:uid="{158A75B5-9B8D-48EB-A72A-70F65F80C95F}" name="USUARIO" dataDxfId="51"/>
    <tableColumn id="3" xr3:uid="{B5F03BC2-5550-4508-B1AF-772004CE4521}" name="N° CHIP" dataDxfId="50"/>
    <tableColumn id="4" xr3:uid="{5A666037-E921-4E85-B0A6-C38E16266CBD}" name="NÚMERO ASIGNADO" dataDxfId="49"/>
    <tableColumn id="5" xr3:uid="{32651104-4F26-4FA8-931A-919CDAFA4806}" name="ESTADO" dataDxfId="48"/>
    <tableColumn id="6" xr3:uid="{D8661C52-A345-4DA7-B6C0-55F2F22E4393}" name="TIPO DE ASIGNACIÓN" dataDxfId="47"/>
  </tableColumns>
  <tableStyleInfo name="TableStyleMedium2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4DF98B5-2D5F-4356-A74F-B2B5BEDC7DCA}" name="Tabla11" displayName="Tabla11" ref="A1:M21" totalsRowShown="0" headerRowDxfId="46" dataDxfId="45">
  <autoFilter ref="A1:M21" xr:uid="{84DF98B5-2D5F-4356-A74F-B2B5BEDC7DCA}"/>
  <tableColumns count="13">
    <tableColumn id="1" xr3:uid="{1C01FCB1-903E-4CB3-B66E-3929AD39B934}" name="N°" dataDxfId="44"/>
    <tableColumn id="2" xr3:uid="{666377AD-10DB-4EF1-AFB3-EC483088754E}" name="USUARIO" dataDxfId="43"/>
    <tableColumn id="3" xr3:uid="{71510572-D67A-4580-8485-1BC8EBB9D59A}" name="TIPO EQUIPO" dataDxfId="42"/>
    <tableColumn id="4" xr3:uid="{52B7A9BB-2A5C-4CE1-A826-2E892D1B61A2}" name="ÁREA" dataDxfId="41"/>
    <tableColumn id="5" xr3:uid="{0684C6BA-5FCC-4168-B802-87030204B91B}" name="NÚMERO ASIGNADO" dataDxfId="40"/>
    <tableColumn id="6" xr3:uid="{68DB1608-34F7-41AC-A030-268A9477A542}" name="DATOS" dataDxfId="39"/>
    <tableColumn id="7" xr3:uid="{BA65B347-716D-4574-807B-15FB0CD1033B}" name="MARCA" dataDxfId="38"/>
    <tableColumn id="8" xr3:uid="{1B44BF12-C4B2-4AF9-8F59-D958B00255C7}" name="MODELO" dataDxfId="37"/>
    <tableColumn id="9" xr3:uid="{12EECF9F-59B9-4610-B1BB-4C1DA44223F3}" name="IMEI" dataDxfId="36"/>
    <tableColumn id="10" xr3:uid="{1B133774-EB7A-49CB-BC6B-2BF6AC8B7FE0}" name="SN" dataDxfId="35"/>
    <tableColumn id="11" xr3:uid="{BF2B28E9-B394-4DB7-A8F2-3BB96BDE9D6F}" name="FECHA DE COMPRA DEL EQUIPO" dataDxfId="34"/>
    <tableColumn id="12" xr3:uid="{94D0C512-17E6-426F-82A9-9F226784E71A}" name="OPERADOR" dataDxfId="33"/>
    <tableColumn id="13" xr3:uid="{AAB9C660-40D7-420D-A73E-F5BFC8CD418B}" name="OBSERVACIONES" dataDxfId="32"/>
  </tableColumns>
  <tableStyleInfo name="TableStyleMedium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F8F96E3-9AD8-4CBD-8960-9DFD3719D501}" name="Tabla12" displayName="Tabla12" ref="A1:E85" totalsRowShown="0" headerRowDxfId="28" dataDxfId="27">
  <autoFilter ref="A1:E85" xr:uid="{8F8F96E3-9AD8-4CBD-8960-9DFD3719D501}"/>
  <tableColumns count="5">
    <tableColumn id="1" xr3:uid="{BE52173B-6C8B-47AD-AFF2-A2D8F5D09438}" name="NÚMERO DE SERIE" dataDxfId="26"/>
    <tableColumn id="2" xr3:uid="{7805F544-9614-4E89-AF23-F7B863E96B8C}" name="MODELO" dataDxfId="25"/>
    <tableColumn id="3" xr3:uid="{D6CA3F0A-36A2-4D93-8161-DE07CAAB35FF}" name="ESTADO" dataDxfId="24"/>
    <tableColumn id="4" xr3:uid="{09A3FF7D-8EFC-4303-AD6E-7EC5EA0CFAA2}" name="AÑO" dataDxfId="23"/>
    <tableColumn id="5" xr3:uid="{DF71F640-37AA-4425-8325-5012609C609D}" name="FECHA" dataDxfId="22"/>
  </tableColumns>
  <tableStyleInfo name="TableStyleMedium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687D5C1-B5EB-42AB-9AF5-C9E70DF56FC3}" name="Tabla14" displayName="Tabla14" ref="A1:J38" totalsRowShown="0" headerRowDxfId="21" dataDxfId="20">
  <autoFilter ref="A1:J38" xr:uid="{F687D5C1-B5EB-42AB-9AF5-C9E70DF56FC3}"/>
  <tableColumns count="10">
    <tableColumn id="1" xr3:uid="{DB0E72B6-29F3-4012-91B3-0884F059B048}" name="TIPO EQUIPO" dataDxfId="19"/>
    <tableColumn id="2" xr3:uid="{2DC74486-FAFC-4C5D-947A-C7FC8807E362}" name="MARCA" dataDxfId="18"/>
    <tableColumn id="3" xr3:uid="{11C68B02-A681-4BC3-9042-7BD5F0D2FB1C}" name="MODELO" dataDxfId="17"/>
    <tableColumn id="4" xr3:uid="{FACC79EB-0E1C-4119-AA74-10D739B53A1A}" name="SN" dataDxfId="16"/>
    <tableColumn id="5" xr3:uid="{81F65E60-4A73-4BEB-9F6C-42A4296FCA01}" name="IP" dataDxfId="15"/>
    <tableColumn id="6" xr3:uid="{5BB94F4D-A959-467B-B98F-3AFC45819F9F}" name="DIRECCIÓN MAC" dataDxfId="14"/>
    <tableColumn id="7" xr3:uid="{72D1C9A6-2FDD-4DBF-9699-976DFCCFE355}" name="UBICACION" dataDxfId="13"/>
    <tableColumn id="10" xr3:uid="{903C1948-F06B-4B6E-8DC3-8C7A07ED12AB}" name="OFICINA" dataDxfId="12"/>
    <tableColumn id="8" xr3:uid="{816DBA9D-C048-4183-9A03-A3E3DFC1527B}" name="PUERTO PRINCIPAL" dataDxfId="11"/>
    <tableColumn id="9" xr3:uid="{CC309BA1-8C89-42C0-9B58-FEE0F641B3EB}" name="OBSERVACIONES" dataDxfId="10"/>
  </tableColumns>
  <tableStyleInfo name="TableStyleMedium1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8C3D4B1-8943-44BF-9E9F-E666446C1056}" name="Tabla13" displayName="Tabla13" ref="A1:H145" totalsRowShown="0" headerRowDxfId="9" dataDxfId="8">
  <autoFilter ref="A1:H145" xr:uid="{48C3D4B1-8943-44BF-9E9F-E666446C1056}"/>
  <tableColumns count="8">
    <tableColumn id="1" xr3:uid="{79BCF8F2-C662-4D6C-A217-2B3D53571447}" name="TIPO EQUIPO" dataDxfId="7"/>
    <tableColumn id="2" xr3:uid="{B6BA0EE6-C3A9-48BE-BA5A-649C69D2C055}" name="MARCA" dataDxfId="6"/>
    <tableColumn id="3" xr3:uid="{78B0A826-9657-4F7F-A3CB-8E80254688AE}" name="MODELO" dataDxfId="5"/>
    <tableColumn id="4" xr3:uid="{5024F569-F8EE-487A-8684-00E4257B1149}" name="SN" dataDxfId="4"/>
    <tableColumn id="5" xr3:uid="{31794FF7-7C6B-4CFD-BA1F-10D1CEDC9ECE}" name="IP" dataDxfId="3"/>
    <tableColumn id="6" xr3:uid="{0D8DAD36-422C-4247-9D7F-A5467FC6769F}" name="UBICACIÓN" dataDxfId="2"/>
    <tableColumn id="7" xr3:uid="{F9BCE274-248C-4543-8134-11DD4D20ECDF}" name="OFICINA" dataDxfId="1"/>
    <tableColumn id="8" xr3:uid="{6F36CFF2-6647-476F-B4D8-5543F57FE95D}" name="DIRECCIÓN MAC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fotero@refax.pe" TargetMode="External"/><Relationship Id="rId299" Type="http://schemas.openxmlformats.org/officeDocument/2006/relationships/table" Target="../tables/table1.xml"/><Relationship Id="rId21" Type="http://schemas.openxmlformats.org/officeDocument/2006/relationships/hyperlink" Target="mailto:jtenorio@refax.pe" TargetMode="External"/><Relationship Id="rId63" Type="http://schemas.openxmlformats.org/officeDocument/2006/relationships/hyperlink" Target="mailto:scuaresmayo@refax.pe" TargetMode="External"/><Relationship Id="rId159" Type="http://schemas.openxmlformats.org/officeDocument/2006/relationships/hyperlink" Target="mailto:cbarrantes.refax@gmail.com" TargetMode="External"/><Relationship Id="rId170" Type="http://schemas.openxmlformats.org/officeDocument/2006/relationships/hyperlink" Target="mailto:aberru.refax@gmail.com" TargetMode="External"/><Relationship Id="rId226" Type="http://schemas.openxmlformats.org/officeDocument/2006/relationships/hyperlink" Target="mailto:jvalencia.refax@gmail.com" TargetMode="External"/><Relationship Id="rId268" Type="http://schemas.openxmlformats.org/officeDocument/2006/relationships/hyperlink" Target="mailto:callcenter2.refax@gmail.com" TargetMode="External"/><Relationship Id="rId32" Type="http://schemas.openxmlformats.org/officeDocument/2006/relationships/hyperlink" Target="mailto:mmori@refax.pe" TargetMode="External"/><Relationship Id="rId74" Type="http://schemas.openxmlformats.org/officeDocument/2006/relationships/hyperlink" Target="mailto:mpineda@refax.pe" TargetMode="External"/><Relationship Id="rId128" Type="http://schemas.openxmlformats.org/officeDocument/2006/relationships/hyperlink" Target="mailto:ddelapuente@refax.pe" TargetMode="External"/><Relationship Id="rId5" Type="http://schemas.openxmlformats.org/officeDocument/2006/relationships/hyperlink" Target="mailto:drojas@refax.pe" TargetMode="External"/><Relationship Id="rId181" Type="http://schemas.openxmlformats.org/officeDocument/2006/relationships/hyperlink" Target="mailto:ehidalgo.refax@gmail.com" TargetMode="External"/><Relationship Id="rId237" Type="http://schemas.openxmlformats.org/officeDocument/2006/relationships/hyperlink" Target="mailto:mzavaleta.refax@gmail.com" TargetMode="External"/><Relationship Id="rId279" Type="http://schemas.openxmlformats.org/officeDocument/2006/relationships/hyperlink" Target="mailto:vtorres.refax@gmail.com" TargetMode="External"/><Relationship Id="rId43" Type="http://schemas.openxmlformats.org/officeDocument/2006/relationships/hyperlink" Target="mailto:ssoto@refax.pe" TargetMode="External"/><Relationship Id="rId139" Type="http://schemas.openxmlformats.org/officeDocument/2006/relationships/hyperlink" Target="mailto:aalburqueque@refax.pe" TargetMode="External"/><Relationship Id="rId290" Type="http://schemas.openxmlformats.org/officeDocument/2006/relationships/hyperlink" Target="mailto:supdistribucion1@refax.pe" TargetMode="External"/><Relationship Id="rId85" Type="http://schemas.openxmlformats.org/officeDocument/2006/relationships/hyperlink" Target="mailto:lestrella@refax.pe" TargetMode="External"/><Relationship Id="rId150" Type="http://schemas.openxmlformats.org/officeDocument/2006/relationships/hyperlink" Target="mailto:aruiz.refax@gmail.com" TargetMode="External"/><Relationship Id="rId192" Type="http://schemas.openxmlformats.org/officeDocument/2006/relationships/hyperlink" Target="mailto:hdelcastillo.refax@gmail.com" TargetMode="External"/><Relationship Id="rId206" Type="http://schemas.openxmlformats.org/officeDocument/2006/relationships/hyperlink" Target="mailto:jflores.refax@gmail.com" TargetMode="External"/><Relationship Id="rId248" Type="http://schemas.openxmlformats.org/officeDocument/2006/relationships/hyperlink" Target="mailto:callcenter7.refax@gmail.com" TargetMode="External"/><Relationship Id="rId12" Type="http://schemas.openxmlformats.org/officeDocument/2006/relationships/hyperlink" Target="mailto:gnava@refax.pe" TargetMode="External"/><Relationship Id="rId108" Type="http://schemas.openxmlformats.org/officeDocument/2006/relationships/hyperlink" Target="mailto:iherrera@refax.pe" TargetMode="External"/><Relationship Id="rId54" Type="http://schemas.openxmlformats.org/officeDocument/2006/relationships/hyperlink" Target="mailto:facturador_cd@refax.pe" TargetMode="External"/><Relationship Id="rId75" Type="http://schemas.openxmlformats.org/officeDocument/2006/relationships/hyperlink" Target="mailto:mgutierrez@refax.pe" TargetMode="External"/><Relationship Id="rId96" Type="http://schemas.openxmlformats.org/officeDocument/2006/relationships/hyperlink" Target="mailto:jcueva@refax.pe" TargetMode="External"/><Relationship Id="rId140" Type="http://schemas.openxmlformats.org/officeDocument/2006/relationships/hyperlink" Target="mailto:amalca@refax.pe" TargetMode="External"/><Relationship Id="rId161" Type="http://schemas.openxmlformats.org/officeDocument/2006/relationships/hyperlink" Target="mailto:aramirez.refax@gmail.com" TargetMode="External"/><Relationship Id="rId182" Type="http://schemas.openxmlformats.org/officeDocument/2006/relationships/hyperlink" Target="mailto:flaurente.refax@gmail.com" TargetMode="External"/><Relationship Id="rId217" Type="http://schemas.openxmlformats.org/officeDocument/2006/relationships/hyperlink" Target="mailto:jcastillo.refax@gmail.com" TargetMode="External"/><Relationship Id="rId6" Type="http://schemas.openxmlformats.org/officeDocument/2006/relationships/hyperlink" Target="mailto:ealbarran@refax.pe" TargetMode="External"/><Relationship Id="rId238" Type="http://schemas.openxmlformats.org/officeDocument/2006/relationships/hyperlink" Target="mailto:mflores.refax@gmail.com" TargetMode="External"/><Relationship Id="rId259" Type="http://schemas.openxmlformats.org/officeDocument/2006/relationships/hyperlink" Target="mailto:pbravo.refax@gmail.com" TargetMode="External"/><Relationship Id="rId23" Type="http://schemas.openxmlformats.org/officeDocument/2006/relationships/hyperlink" Target="mailto:jcastillo@refax.pe" TargetMode="External"/><Relationship Id="rId119" Type="http://schemas.openxmlformats.org/officeDocument/2006/relationships/hyperlink" Target="mailto:fyactayo@refax.pe" TargetMode="External"/><Relationship Id="rId270" Type="http://schemas.openxmlformats.org/officeDocument/2006/relationships/hyperlink" Target="mailto:ssoto.refax@gmail.com" TargetMode="External"/><Relationship Id="rId291" Type="http://schemas.openxmlformats.org/officeDocument/2006/relationships/hyperlink" Target="mailto:dcamacho@refax.pe" TargetMode="External"/><Relationship Id="rId44" Type="http://schemas.openxmlformats.org/officeDocument/2006/relationships/hyperlink" Target="mailto:schoque@refax.pe" TargetMode="External"/><Relationship Id="rId65" Type="http://schemas.openxmlformats.org/officeDocument/2006/relationships/hyperlink" Target="mailto:rcarbajal@refax.pe" TargetMode="External"/><Relationship Id="rId86" Type="http://schemas.openxmlformats.org/officeDocument/2006/relationships/hyperlink" Target="mailto:faparicio@refax.pe" TargetMode="External"/><Relationship Id="rId130" Type="http://schemas.openxmlformats.org/officeDocument/2006/relationships/hyperlink" Target="mailto:cruiz@refax.pe" TargetMode="External"/><Relationship Id="rId151" Type="http://schemas.openxmlformats.org/officeDocument/2006/relationships/hyperlink" Target="mailto:acachima.refax@gmail.com" TargetMode="External"/><Relationship Id="rId172" Type="http://schemas.openxmlformats.org/officeDocument/2006/relationships/hyperlink" Target="mailto:dbroggi.refax@gmail.com" TargetMode="External"/><Relationship Id="rId193" Type="http://schemas.openxmlformats.org/officeDocument/2006/relationships/hyperlink" Target="mailto:hejuarez.refax@gmail.com" TargetMode="External"/><Relationship Id="rId207" Type="http://schemas.openxmlformats.org/officeDocument/2006/relationships/hyperlink" Target="mailto:jgutierrez.refax@gmail.com" TargetMode="External"/><Relationship Id="rId228" Type="http://schemas.openxmlformats.org/officeDocument/2006/relationships/hyperlink" Target="mailto:krojas.refax@gmail.com" TargetMode="External"/><Relationship Id="rId249" Type="http://schemas.openxmlformats.org/officeDocument/2006/relationships/hyperlink" Target="mailto:mapaza.refax@gmail.com" TargetMode="External"/><Relationship Id="rId13" Type="http://schemas.openxmlformats.org/officeDocument/2006/relationships/hyperlink" Target="mailto:hejuarez@refax.pe" TargetMode="External"/><Relationship Id="rId109" Type="http://schemas.openxmlformats.org/officeDocument/2006/relationships/hyperlink" Target="mailto:hjuarez@refax.pe" TargetMode="External"/><Relationship Id="rId260" Type="http://schemas.openxmlformats.org/officeDocument/2006/relationships/hyperlink" Target="mailto:ranyosa.refax@gmail.com" TargetMode="External"/><Relationship Id="rId281" Type="http://schemas.openxmlformats.org/officeDocument/2006/relationships/hyperlink" Target="mailto:wruiz.refax@gmail.com" TargetMode="External"/><Relationship Id="rId34" Type="http://schemas.openxmlformats.org/officeDocument/2006/relationships/hyperlink" Target="mailto:msantos@refax.pe" TargetMode="External"/><Relationship Id="rId55" Type="http://schemas.openxmlformats.org/officeDocument/2006/relationships/hyperlink" Target="mailto:asotero@refax.pe" TargetMode="External"/><Relationship Id="rId76" Type="http://schemas.openxmlformats.org/officeDocument/2006/relationships/hyperlink" Target="mailto:mapaza@refax.pe" TargetMode="External"/><Relationship Id="rId97" Type="http://schemas.openxmlformats.org/officeDocument/2006/relationships/hyperlink" Target="mailto:jminaya@refax.pe" TargetMode="External"/><Relationship Id="rId120" Type="http://schemas.openxmlformats.org/officeDocument/2006/relationships/hyperlink" Target="mailto:ehidalgo@refax.pe" TargetMode="External"/><Relationship Id="rId141" Type="http://schemas.openxmlformats.org/officeDocument/2006/relationships/hyperlink" Target="mailto:acubas@refax.pe" TargetMode="External"/><Relationship Id="rId7" Type="http://schemas.openxmlformats.org/officeDocument/2006/relationships/hyperlink" Target="mailto:eachata@refax.pe" TargetMode="External"/><Relationship Id="rId162" Type="http://schemas.openxmlformats.org/officeDocument/2006/relationships/hyperlink" Target="mailto:cabregu.refax@gmail.com" TargetMode="External"/><Relationship Id="rId183" Type="http://schemas.openxmlformats.org/officeDocument/2006/relationships/hyperlink" Target="mailto:fyactayo.refax@gmail.com" TargetMode="External"/><Relationship Id="rId218" Type="http://schemas.openxmlformats.org/officeDocument/2006/relationships/hyperlink" Target="mailto:jcueva.refax@gmail.com" TargetMode="External"/><Relationship Id="rId239" Type="http://schemas.openxmlformats.org/officeDocument/2006/relationships/hyperlink" Target="mailto:mamoretti.refax@gmail.com" TargetMode="External"/><Relationship Id="rId250" Type="http://schemas.openxmlformats.org/officeDocument/2006/relationships/hyperlink" Target="mailto:mgutierrez.refax@gmail.com" TargetMode="External"/><Relationship Id="rId271" Type="http://schemas.openxmlformats.org/officeDocument/2006/relationships/hyperlink" Target="mailto:scuaresmayo.refax@gmail.com" TargetMode="External"/><Relationship Id="rId292" Type="http://schemas.openxmlformats.org/officeDocument/2006/relationships/hyperlink" Target="mailto:gapolinario@refax.pe" TargetMode="External"/><Relationship Id="rId24" Type="http://schemas.openxmlformats.org/officeDocument/2006/relationships/hyperlink" Target="mailto:jperez@refax.pe" TargetMode="External"/><Relationship Id="rId45" Type="http://schemas.openxmlformats.org/officeDocument/2006/relationships/hyperlink" Target="mailto:shuapaya@refax.pe" TargetMode="External"/><Relationship Id="rId66" Type="http://schemas.openxmlformats.org/officeDocument/2006/relationships/hyperlink" Target="mailto:rsalazar@refax.pe" TargetMode="External"/><Relationship Id="rId87" Type="http://schemas.openxmlformats.org/officeDocument/2006/relationships/hyperlink" Target="mailto:psaavedra@refax.pe" TargetMode="External"/><Relationship Id="rId110" Type="http://schemas.openxmlformats.org/officeDocument/2006/relationships/hyperlink" Target="mailto:hvillafuerte@refax.pe" TargetMode="External"/><Relationship Id="rId131" Type="http://schemas.openxmlformats.org/officeDocument/2006/relationships/hyperlink" Target="mailto:carevalo@refax.pe" TargetMode="External"/><Relationship Id="rId152" Type="http://schemas.openxmlformats.org/officeDocument/2006/relationships/hyperlink" Target="mailto:aarispe.refax@gmail.com" TargetMode="External"/><Relationship Id="rId173" Type="http://schemas.openxmlformats.org/officeDocument/2006/relationships/hyperlink" Target="mailto:dhernandez.refax@gmail.com" TargetMode="External"/><Relationship Id="rId194" Type="http://schemas.openxmlformats.org/officeDocument/2006/relationships/hyperlink" Target="mailto:hvillafuerte.refax@gmail.com" TargetMode="External"/><Relationship Id="rId208" Type="http://schemas.openxmlformats.org/officeDocument/2006/relationships/hyperlink" Target="mailto:jhermoza.refax@gmail.com" TargetMode="External"/><Relationship Id="rId229" Type="http://schemas.openxmlformats.org/officeDocument/2006/relationships/hyperlink" Target="mailto:kperez.refax@gmail.com" TargetMode="External"/><Relationship Id="rId240" Type="http://schemas.openxmlformats.org/officeDocument/2006/relationships/hyperlink" Target="mailto:mromero.refax@gmail.com" TargetMode="External"/><Relationship Id="rId261" Type="http://schemas.openxmlformats.org/officeDocument/2006/relationships/hyperlink" Target="mailto:rcaceres.refax@gmail.com" TargetMode="External"/><Relationship Id="rId14" Type="http://schemas.openxmlformats.org/officeDocument/2006/relationships/hyperlink" Target="mailto:jestrada@refax.pe" TargetMode="External"/><Relationship Id="rId35" Type="http://schemas.openxmlformats.org/officeDocument/2006/relationships/hyperlink" Target="mailto:nprado@refax.pe" TargetMode="External"/><Relationship Id="rId56" Type="http://schemas.openxmlformats.org/officeDocument/2006/relationships/hyperlink" Target="mailto:aarispe@refax.pe" TargetMode="External"/><Relationship Id="rId77" Type="http://schemas.openxmlformats.org/officeDocument/2006/relationships/hyperlink" Target="mailto:mvalle@refax.pe" TargetMode="External"/><Relationship Id="rId100" Type="http://schemas.openxmlformats.org/officeDocument/2006/relationships/hyperlink" Target="mailto:jatoche@refax.pe" TargetMode="External"/><Relationship Id="rId282" Type="http://schemas.openxmlformats.org/officeDocument/2006/relationships/hyperlink" Target="mailto:wvasquez.refax@gmail.com" TargetMode="External"/><Relationship Id="rId8" Type="http://schemas.openxmlformats.org/officeDocument/2006/relationships/hyperlink" Target="mailto:emartinez@refax.pe" TargetMode="External"/><Relationship Id="rId98" Type="http://schemas.openxmlformats.org/officeDocument/2006/relationships/hyperlink" Target="mailto:jcarrera@refax.pe" TargetMode="External"/><Relationship Id="rId121" Type="http://schemas.openxmlformats.org/officeDocument/2006/relationships/hyperlink" Target="mailto:dpardo@refax.pe" TargetMode="External"/><Relationship Id="rId142" Type="http://schemas.openxmlformats.org/officeDocument/2006/relationships/hyperlink" Target="mailto:alluen@refax.pe" TargetMode="External"/><Relationship Id="rId163" Type="http://schemas.openxmlformats.org/officeDocument/2006/relationships/hyperlink" Target="mailto:ccarrasco.refax@gmail.com" TargetMode="External"/><Relationship Id="rId184" Type="http://schemas.openxmlformats.org/officeDocument/2006/relationships/hyperlink" Target="mailto:asalazar.refax@gmail.com" TargetMode="External"/><Relationship Id="rId219" Type="http://schemas.openxmlformats.org/officeDocument/2006/relationships/hyperlink" Target="mailto:jperez.refax@gmail.com" TargetMode="External"/><Relationship Id="rId230" Type="http://schemas.openxmlformats.org/officeDocument/2006/relationships/hyperlink" Target="mailto:kreyna.refax@gmail.com" TargetMode="External"/><Relationship Id="rId251" Type="http://schemas.openxmlformats.org/officeDocument/2006/relationships/hyperlink" Target="mailto:mpineda.refax@gmail.com" TargetMode="External"/><Relationship Id="rId25" Type="http://schemas.openxmlformats.org/officeDocument/2006/relationships/hyperlink" Target="mailto:jbotton@refax.pe" TargetMode="External"/><Relationship Id="rId46" Type="http://schemas.openxmlformats.org/officeDocument/2006/relationships/hyperlink" Target="mailto:sobregon@refax.pe" TargetMode="External"/><Relationship Id="rId67" Type="http://schemas.openxmlformats.org/officeDocument/2006/relationships/hyperlink" Target="mailto:rinfantes@refax.pe" TargetMode="External"/><Relationship Id="rId272" Type="http://schemas.openxmlformats.org/officeDocument/2006/relationships/hyperlink" Target="mailto:schoque.refax@gmail.com" TargetMode="External"/><Relationship Id="rId293" Type="http://schemas.openxmlformats.org/officeDocument/2006/relationships/hyperlink" Target="mailto:mrojas@refax.pe" TargetMode="External"/><Relationship Id="rId88" Type="http://schemas.openxmlformats.org/officeDocument/2006/relationships/hyperlink" Target="mailto:kbueno@refax.pe" TargetMode="External"/><Relationship Id="rId111" Type="http://schemas.openxmlformats.org/officeDocument/2006/relationships/hyperlink" Target="mailto:hcastillo@refax.pe" TargetMode="External"/><Relationship Id="rId132" Type="http://schemas.openxmlformats.org/officeDocument/2006/relationships/hyperlink" Target="mailto:ccarrasco@refax.pe" TargetMode="External"/><Relationship Id="rId153" Type="http://schemas.openxmlformats.org/officeDocument/2006/relationships/hyperlink" Target="mailto:asotero.refax@gmail.com" TargetMode="External"/><Relationship Id="rId174" Type="http://schemas.openxmlformats.org/officeDocument/2006/relationships/hyperlink" Target="mailto:dalca.refax@gmail.com" TargetMode="External"/><Relationship Id="rId195" Type="http://schemas.openxmlformats.org/officeDocument/2006/relationships/hyperlink" Target="mailto:hjuarez.refax@gmail.com" TargetMode="External"/><Relationship Id="rId209" Type="http://schemas.openxmlformats.org/officeDocument/2006/relationships/hyperlink" Target="mailto:avargas.refax@gmail.com" TargetMode="External"/><Relationship Id="rId220" Type="http://schemas.openxmlformats.org/officeDocument/2006/relationships/hyperlink" Target="mailto:jruiz.refax@gmail.com" TargetMode="External"/><Relationship Id="rId241" Type="http://schemas.openxmlformats.org/officeDocument/2006/relationships/hyperlink" Target="mailto:mmori.refax@gmail.com" TargetMode="External"/><Relationship Id="rId15" Type="http://schemas.openxmlformats.org/officeDocument/2006/relationships/hyperlink" Target="mailto:jmogollon@refax.pe" TargetMode="External"/><Relationship Id="rId36" Type="http://schemas.openxmlformats.org/officeDocument/2006/relationships/hyperlink" Target="mailto:omonge@refax.pe" TargetMode="External"/><Relationship Id="rId57" Type="http://schemas.openxmlformats.org/officeDocument/2006/relationships/hyperlink" Target="mailto:acachima@refax.pe" TargetMode="External"/><Relationship Id="rId262" Type="http://schemas.openxmlformats.org/officeDocument/2006/relationships/hyperlink" Target="mailto:anure&#241;a.refax@gmail.com" TargetMode="External"/><Relationship Id="rId283" Type="http://schemas.openxmlformats.org/officeDocument/2006/relationships/hyperlink" Target="mailto:wmartinez.refax@gmail.com" TargetMode="External"/><Relationship Id="rId78" Type="http://schemas.openxmlformats.org/officeDocument/2006/relationships/hyperlink" Target="mailto:mmalpartida@refax.pe" TargetMode="External"/><Relationship Id="rId99" Type="http://schemas.openxmlformats.org/officeDocument/2006/relationships/hyperlink" Target="mailto:jvaccaro@refax.pe" TargetMode="External"/><Relationship Id="rId101" Type="http://schemas.openxmlformats.org/officeDocument/2006/relationships/hyperlink" Target="mailto:avargas@refax.pe" TargetMode="External"/><Relationship Id="rId122" Type="http://schemas.openxmlformats.org/officeDocument/2006/relationships/hyperlink" Target="mailto:dalca@refax.pe" TargetMode="External"/><Relationship Id="rId143" Type="http://schemas.openxmlformats.org/officeDocument/2006/relationships/hyperlink" Target="mailto:callcenter9.refax@gmail.com" TargetMode="External"/><Relationship Id="rId164" Type="http://schemas.openxmlformats.org/officeDocument/2006/relationships/hyperlink" Target="mailto:carevalo.refax@gmail.com" TargetMode="External"/><Relationship Id="rId185" Type="http://schemas.openxmlformats.org/officeDocument/2006/relationships/hyperlink" Target="mailto:aotero.refax@gmail.com" TargetMode="External"/><Relationship Id="rId9" Type="http://schemas.openxmlformats.org/officeDocument/2006/relationships/hyperlink" Target="mailto:etiza@refax.pe" TargetMode="External"/><Relationship Id="rId210" Type="http://schemas.openxmlformats.org/officeDocument/2006/relationships/hyperlink" Target="mailto:jatoche.refax@gmail.com" TargetMode="External"/><Relationship Id="rId26" Type="http://schemas.openxmlformats.org/officeDocument/2006/relationships/hyperlink" Target="mailto:jnakazaki@refax.pe" TargetMode="External"/><Relationship Id="rId231" Type="http://schemas.openxmlformats.org/officeDocument/2006/relationships/hyperlink" Target="mailto:kbueno.refax@gmail.com" TargetMode="External"/><Relationship Id="rId252" Type="http://schemas.openxmlformats.org/officeDocument/2006/relationships/hyperlink" Target="mailto:mdiaz.refax@gmail.com" TargetMode="External"/><Relationship Id="rId273" Type="http://schemas.openxmlformats.org/officeDocument/2006/relationships/hyperlink" Target="mailto:srevolledo.refax@gmail.com" TargetMode="External"/><Relationship Id="rId294" Type="http://schemas.openxmlformats.org/officeDocument/2006/relationships/hyperlink" Target="mailto:mrojas.refax@gmail.com" TargetMode="External"/><Relationship Id="rId47" Type="http://schemas.openxmlformats.org/officeDocument/2006/relationships/hyperlink" Target="mailto:vbecerra@refax.pe" TargetMode="External"/><Relationship Id="rId68" Type="http://schemas.openxmlformats.org/officeDocument/2006/relationships/hyperlink" Target="mailto:rnure&#241;a@refax.pe" TargetMode="External"/><Relationship Id="rId89" Type="http://schemas.openxmlformats.org/officeDocument/2006/relationships/hyperlink" Target="mailto:kperez@refax.pe" TargetMode="External"/><Relationship Id="rId112" Type="http://schemas.openxmlformats.org/officeDocument/2006/relationships/hyperlink" Target="mailto:gbustos@refax.pe" TargetMode="External"/><Relationship Id="rId133" Type="http://schemas.openxmlformats.org/officeDocument/2006/relationships/hyperlink" Target="mailto:cabregu@refax.pe" TargetMode="External"/><Relationship Id="rId154" Type="http://schemas.openxmlformats.org/officeDocument/2006/relationships/hyperlink" Target="mailto:asoria.refax@gmail.com" TargetMode="External"/><Relationship Id="rId175" Type="http://schemas.openxmlformats.org/officeDocument/2006/relationships/hyperlink" Target="mailto:dpardo.refax@gmail.com" TargetMode="External"/><Relationship Id="rId196" Type="http://schemas.openxmlformats.org/officeDocument/2006/relationships/hyperlink" Target="mailto:iherrera.refax@gmail.com" TargetMode="External"/><Relationship Id="rId200" Type="http://schemas.openxmlformats.org/officeDocument/2006/relationships/hyperlink" Target="mailto:jsuematzu.refax@gmail.com" TargetMode="External"/><Relationship Id="rId16" Type="http://schemas.openxmlformats.org/officeDocument/2006/relationships/hyperlink" Target="mailto:jhurtado@refax.pe" TargetMode="External"/><Relationship Id="rId221" Type="http://schemas.openxmlformats.org/officeDocument/2006/relationships/hyperlink" Target="mailto:rtbodega.refax@gmail.com" TargetMode="External"/><Relationship Id="rId242" Type="http://schemas.openxmlformats.org/officeDocument/2006/relationships/hyperlink" Target="mailto:callcenter6.refax@gmail.com" TargetMode="External"/><Relationship Id="rId263" Type="http://schemas.openxmlformats.org/officeDocument/2006/relationships/hyperlink" Target="mailto:rhuaman.refax@gmail.com" TargetMode="External"/><Relationship Id="rId284" Type="http://schemas.openxmlformats.org/officeDocument/2006/relationships/hyperlink" Target="mailto:ymarin.refax@gmail.com" TargetMode="External"/><Relationship Id="rId37" Type="http://schemas.openxmlformats.org/officeDocument/2006/relationships/hyperlink" Target="mailto:ocardenas@refax.pe" TargetMode="External"/><Relationship Id="rId58" Type="http://schemas.openxmlformats.org/officeDocument/2006/relationships/hyperlink" Target="mailto:ydelgado@refax.pe" TargetMode="External"/><Relationship Id="rId79" Type="http://schemas.openxmlformats.org/officeDocument/2006/relationships/hyperlink" Target="mailto:mbarrera@refax.pe" TargetMode="External"/><Relationship Id="rId102" Type="http://schemas.openxmlformats.org/officeDocument/2006/relationships/hyperlink" Target="mailto:juriarte@refax.pe" TargetMode="External"/><Relationship Id="rId123" Type="http://schemas.openxmlformats.org/officeDocument/2006/relationships/hyperlink" Target="mailto:dhernandez@refax.pe" TargetMode="External"/><Relationship Id="rId144" Type="http://schemas.openxmlformats.org/officeDocument/2006/relationships/hyperlink" Target="mailto:achalco.refax@gmail.com" TargetMode="External"/><Relationship Id="rId90" Type="http://schemas.openxmlformats.org/officeDocument/2006/relationships/hyperlink" Target="mailto:krojas@refax.pe" TargetMode="External"/><Relationship Id="rId165" Type="http://schemas.openxmlformats.org/officeDocument/2006/relationships/hyperlink" Target="mailto:cruiz.refax@gmail.com" TargetMode="External"/><Relationship Id="rId186" Type="http://schemas.openxmlformats.org/officeDocument/2006/relationships/hyperlink" Target="mailto:ganazco.refax@gmail.com" TargetMode="External"/><Relationship Id="rId211" Type="http://schemas.openxmlformats.org/officeDocument/2006/relationships/hyperlink" Target="mailto:jvaccaro.refax@gmail.com" TargetMode="External"/><Relationship Id="rId232" Type="http://schemas.openxmlformats.org/officeDocument/2006/relationships/hyperlink" Target="mailto:psaavedra.refax@gmail.com" TargetMode="External"/><Relationship Id="rId253" Type="http://schemas.openxmlformats.org/officeDocument/2006/relationships/hyperlink" Target="mailto:nprado.refax@gmail.com" TargetMode="External"/><Relationship Id="rId274" Type="http://schemas.openxmlformats.org/officeDocument/2006/relationships/hyperlink" Target="mailto:sbenites.refax@gmail.com" TargetMode="External"/><Relationship Id="rId295" Type="http://schemas.openxmlformats.org/officeDocument/2006/relationships/hyperlink" Target="mailto:eaguilar@refax.pe" TargetMode="External"/><Relationship Id="rId27" Type="http://schemas.openxmlformats.org/officeDocument/2006/relationships/hyperlink" Target="mailto:julloa@refax.pe" TargetMode="External"/><Relationship Id="rId48" Type="http://schemas.openxmlformats.org/officeDocument/2006/relationships/hyperlink" Target="mailto:vtorres@refax.pe" TargetMode="External"/><Relationship Id="rId69" Type="http://schemas.openxmlformats.org/officeDocument/2006/relationships/hyperlink" Target="mailto:rcaceres@refax.pe" TargetMode="External"/><Relationship Id="rId113" Type="http://schemas.openxmlformats.org/officeDocument/2006/relationships/hyperlink" Target="mailto:gmalca@refax.pe" TargetMode="External"/><Relationship Id="rId134" Type="http://schemas.openxmlformats.org/officeDocument/2006/relationships/hyperlink" Target="mailto:cramirez@refax.pe" TargetMode="External"/><Relationship Id="rId80" Type="http://schemas.openxmlformats.org/officeDocument/2006/relationships/hyperlink" Target="mailto:sjoaquin@refax.pe" TargetMode="External"/><Relationship Id="rId155" Type="http://schemas.openxmlformats.org/officeDocument/2006/relationships/hyperlink" Target="mailto:facturadorcd.refax@gmail.com" TargetMode="External"/><Relationship Id="rId176" Type="http://schemas.openxmlformats.org/officeDocument/2006/relationships/hyperlink" Target="mailto:ealbarran.refax@gmail.com" TargetMode="External"/><Relationship Id="rId197" Type="http://schemas.openxmlformats.org/officeDocument/2006/relationships/hyperlink" Target="mailto:ivalverde.refax@gmail.com" TargetMode="External"/><Relationship Id="rId201" Type="http://schemas.openxmlformats.org/officeDocument/2006/relationships/hyperlink" Target="mailto:jmogollon.refax@gmail.com" TargetMode="External"/><Relationship Id="rId222" Type="http://schemas.openxmlformats.org/officeDocument/2006/relationships/hyperlink" Target="mailto:jbotton.refax@gmail.com" TargetMode="External"/><Relationship Id="rId243" Type="http://schemas.openxmlformats.org/officeDocument/2006/relationships/hyperlink" Target="mailto:mvillegas.refax@gmail.com" TargetMode="External"/><Relationship Id="rId264" Type="http://schemas.openxmlformats.org/officeDocument/2006/relationships/hyperlink" Target="mailto:rinfantes.refax@gmail.com" TargetMode="External"/><Relationship Id="rId285" Type="http://schemas.openxmlformats.org/officeDocument/2006/relationships/hyperlink" Target="mailto:ydelgado.refax@gmail.com" TargetMode="External"/><Relationship Id="rId17" Type="http://schemas.openxmlformats.org/officeDocument/2006/relationships/hyperlink" Target="mailto:jflores@refax.pe" TargetMode="External"/><Relationship Id="rId38" Type="http://schemas.openxmlformats.org/officeDocument/2006/relationships/hyperlink" Target="mailto:odiaz@refax.pe" TargetMode="External"/><Relationship Id="rId59" Type="http://schemas.openxmlformats.org/officeDocument/2006/relationships/hyperlink" Target="mailto:wvasquez@refax.pe" TargetMode="External"/><Relationship Id="rId103" Type="http://schemas.openxmlformats.org/officeDocument/2006/relationships/hyperlink" Target="mailto:jvillagaray@refax.pe" TargetMode="External"/><Relationship Id="rId124" Type="http://schemas.openxmlformats.org/officeDocument/2006/relationships/hyperlink" Target="mailto:dbroggi@refax.pe" TargetMode="External"/><Relationship Id="rId70" Type="http://schemas.openxmlformats.org/officeDocument/2006/relationships/hyperlink" Target="mailto:ranyosa@refax.pe" TargetMode="External"/><Relationship Id="rId91" Type="http://schemas.openxmlformats.org/officeDocument/2006/relationships/hyperlink" Target="mailto:Supdevoluciones1@refax.pe" TargetMode="External"/><Relationship Id="rId145" Type="http://schemas.openxmlformats.org/officeDocument/2006/relationships/hyperlink" Target="mailto:alluen.refax@gmail.com" TargetMode="External"/><Relationship Id="rId166" Type="http://schemas.openxmlformats.org/officeDocument/2006/relationships/hyperlink" Target="mailto:cdiaz.refax@gmail.com" TargetMode="External"/><Relationship Id="rId187" Type="http://schemas.openxmlformats.org/officeDocument/2006/relationships/hyperlink" Target="mailto:gtocas.refax@gmail.com" TargetMode="External"/><Relationship Id="rId1" Type="http://schemas.openxmlformats.org/officeDocument/2006/relationships/hyperlink" Target="mailto:aquezada@refax.pe" TargetMode="External"/><Relationship Id="rId212" Type="http://schemas.openxmlformats.org/officeDocument/2006/relationships/hyperlink" Target="mailto:mchavez.refax@gmail.com" TargetMode="External"/><Relationship Id="rId233" Type="http://schemas.openxmlformats.org/officeDocument/2006/relationships/hyperlink" Target="mailto:aaparicio.refax@gmail.com" TargetMode="External"/><Relationship Id="rId254" Type="http://schemas.openxmlformats.org/officeDocument/2006/relationships/hyperlink" Target="mailto:omonge.refax@gmail.com" TargetMode="External"/><Relationship Id="rId28" Type="http://schemas.openxmlformats.org/officeDocument/2006/relationships/hyperlink" Target="mailto:kreyna@refax.pe" TargetMode="External"/><Relationship Id="rId49" Type="http://schemas.openxmlformats.org/officeDocument/2006/relationships/hyperlink" Target="mailto:vpinedo@refax.pe" TargetMode="External"/><Relationship Id="rId114" Type="http://schemas.openxmlformats.org/officeDocument/2006/relationships/hyperlink" Target="mailto:gsoller@refax.pe" TargetMode="External"/><Relationship Id="rId275" Type="http://schemas.openxmlformats.org/officeDocument/2006/relationships/hyperlink" Target="mailto:shuapaya.refax@gmail.com" TargetMode="External"/><Relationship Id="rId296" Type="http://schemas.openxmlformats.org/officeDocument/2006/relationships/hyperlink" Target="mailto:eaguilar.refax@gmail.com" TargetMode="External"/><Relationship Id="rId60" Type="http://schemas.openxmlformats.org/officeDocument/2006/relationships/hyperlink" Target="mailto:ulecca@refax.pe" TargetMode="External"/><Relationship Id="rId81" Type="http://schemas.openxmlformats.org/officeDocument/2006/relationships/hyperlink" Target="mailto:mvillegas@refax.pe" TargetMode="External"/><Relationship Id="rId135" Type="http://schemas.openxmlformats.org/officeDocument/2006/relationships/hyperlink" Target="mailto:cphilipps@refax.pe" TargetMode="External"/><Relationship Id="rId156" Type="http://schemas.openxmlformats.org/officeDocument/2006/relationships/hyperlink" Target="mailto:bmosquera.refax@gmail.com" TargetMode="External"/><Relationship Id="rId177" Type="http://schemas.openxmlformats.org/officeDocument/2006/relationships/hyperlink" Target="mailto:eachata.refax@gmail.com" TargetMode="External"/><Relationship Id="rId198" Type="http://schemas.openxmlformats.org/officeDocument/2006/relationships/hyperlink" Target="mailto:igutierrez.refax@gmail.com" TargetMode="External"/><Relationship Id="rId202" Type="http://schemas.openxmlformats.org/officeDocument/2006/relationships/hyperlink" Target="mailto:jzegarra.refax@gmail.com" TargetMode="External"/><Relationship Id="rId223" Type="http://schemas.openxmlformats.org/officeDocument/2006/relationships/hyperlink" Target="mailto:jcavero.refax@gmail.com" TargetMode="External"/><Relationship Id="rId244" Type="http://schemas.openxmlformats.org/officeDocument/2006/relationships/hyperlink" Target="mailto:sjoaquin.refax@gmail.com" TargetMode="External"/><Relationship Id="rId18" Type="http://schemas.openxmlformats.org/officeDocument/2006/relationships/hyperlink" Target="mailto:jgutierrez@refax.pe" TargetMode="External"/><Relationship Id="rId39" Type="http://schemas.openxmlformats.org/officeDocument/2006/relationships/hyperlink" Target="mailto:ppayva@refax.pe" TargetMode="External"/><Relationship Id="rId265" Type="http://schemas.openxmlformats.org/officeDocument/2006/relationships/hyperlink" Target="mailto:rsalazar.refax@gmail.com" TargetMode="External"/><Relationship Id="rId286" Type="http://schemas.openxmlformats.org/officeDocument/2006/relationships/hyperlink" Target="mailto:vruelas@refax.pe" TargetMode="External"/><Relationship Id="rId50" Type="http://schemas.openxmlformats.org/officeDocument/2006/relationships/hyperlink" Target="mailto:wruiz@refax.pe" TargetMode="External"/><Relationship Id="rId104" Type="http://schemas.openxmlformats.org/officeDocument/2006/relationships/hyperlink" Target="mailto:jzegarra@refax.pe" TargetMode="External"/><Relationship Id="rId125" Type="http://schemas.openxmlformats.org/officeDocument/2006/relationships/hyperlink" Target="mailto:dgonia@refax.pe" TargetMode="External"/><Relationship Id="rId146" Type="http://schemas.openxmlformats.org/officeDocument/2006/relationships/hyperlink" Target="mailto:acubas.refax@gmail.com" TargetMode="External"/><Relationship Id="rId167" Type="http://schemas.openxmlformats.org/officeDocument/2006/relationships/hyperlink" Target="mailto:ddelapuente.refax@gmail.com" TargetMode="External"/><Relationship Id="rId188" Type="http://schemas.openxmlformats.org/officeDocument/2006/relationships/hyperlink" Target="mailto:gsoller.refax@gmail.com" TargetMode="External"/><Relationship Id="rId71" Type="http://schemas.openxmlformats.org/officeDocument/2006/relationships/hyperlink" Target="mailto:pbravo@refax.pe" TargetMode="External"/><Relationship Id="rId92" Type="http://schemas.openxmlformats.org/officeDocument/2006/relationships/hyperlink" Target="mailto:avalencia@refax.pe" TargetMode="External"/><Relationship Id="rId213" Type="http://schemas.openxmlformats.org/officeDocument/2006/relationships/hyperlink" Target="mailto:jcarrera.refax@gmail.com" TargetMode="External"/><Relationship Id="rId234" Type="http://schemas.openxmlformats.org/officeDocument/2006/relationships/hyperlink" Target="mailto:callcenter1.refax@gmail.com" TargetMode="External"/><Relationship Id="rId2" Type="http://schemas.openxmlformats.org/officeDocument/2006/relationships/hyperlink" Target="mailto:asoria@refax.pe" TargetMode="External"/><Relationship Id="rId29" Type="http://schemas.openxmlformats.org/officeDocument/2006/relationships/hyperlink" Target="mailto:lsaer@refax.pe" TargetMode="External"/><Relationship Id="rId255" Type="http://schemas.openxmlformats.org/officeDocument/2006/relationships/hyperlink" Target="mailto:ocardenas.refax@gmail.com" TargetMode="External"/><Relationship Id="rId276" Type="http://schemas.openxmlformats.org/officeDocument/2006/relationships/hyperlink" Target="mailto:sobregon.refax@gmail.com" TargetMode="External"/><Relationship Id="rId297" Type="http://schemas.openxmlformats.org/officeDocument/2006/relationships/hyperlink" Target="mailto:despinoza@refax.pe" TargetMode="External"/><Relationship Id="rId40" Type="http://schemas.openxmlformats.org/officeDocument/2006/relationships/hyperlink" Target="mailto:rhuaman@refax.pe" TargetMode="External"/><Relationship Id="rId115" Type="http://schemas.openxmlformats.org/officeDocument/2006/relationships/hyperlink" Target="mailto:gtocas@refax.pe" TargetMode="External"/><Relationship Id="rId136" Type="http://schemas.openxmlformats.org/officeDocument/2006/relationships/hyperlink" Target="mailto:cbarrantes@refax.pe" TargetMode="External"/><Relationship Id="rId157" Type="http://schemas.openxmlformats.org/officeDocument/2006/relationships/hyperlink" Target="mailto:caguirre.refax@gmail.com" TargetMode="External"/><Relationship Id="rId178" Type="http://schemas.openxmlformats.org/officeDocument/2006/relationships/hyperlink" Target="mailto:callcenter5.refax@gmail.com" TargetMode="External"/><Relationship Id="rId61" Type="http://schemas.openxmlformats.org/officeDocument/2006/relationships/hyperlink" Target="mailto:sbenites@refax.pe" TargetMode="External"/><Relationship Id="rId82" Type="http://schemas.openxmlformats.org/officeDocument/2006/relationships/hyperlink" Target="mailto:mromero@refax.pe" TargetMode="External"/><Relationship Id="rId199" Type="http://schemas.openxmlformats.org/officeDocument/2006/relationships/hyperlink" Target="mailto:jestrada.refax@gmail.com" TargetMode="External"/><Relationship Id="rId203" Type="http://schemas.openxmlformats.org/officeDocument/2006/relationships/hyperlink" Target="mailto:jvillagaray.refax@gmail.com" TargetMode="External"/><Relationship Id="rId19" Type="http://schemas.openxmlformats.org/officeDocument/2006/relationships/hyperlink" Target="mailto:jhermoza@refax.pe" TargetMode="External"/><Relationship Id="rId224" Type="http://schemas.openxmlformats.org/officeDocument/2006/relationships/hyperlink" Target="mailto:jnakazaki.refax@gmail.com" TargetMode="External"/><Relationship Id="rId245" Type="http://schemas.openxmlformats.org/officeDocument/2006/relationships/hyperlink" Target="mailto:mbarrera.refax@gmail.com" TargetMode="External"/><Relationship Id="rId266" Type="http://schemas.openxmlformats.org/officeDocument/2006/relationships/hyperlink" Target="mailto:rchumbes.refax@gmail.com" TargetMode="External"/><Relationship Id="rId287" Type="http://schemas.openxmlformats.org/officeDocument/2006/relationships/hyperlink" Target="mailto:vruelas.refax@gmail.com" TargetMode="External"/><Relationship Id="rId30" Type="http://schemas.openxmlformats.org/officeDocument/2006/relationships/hyperlink" Target="mailto:lneyra@refax.pe" TargetMode="External"/><Relationship Id="rId105" Type="http://schemas.openxmlformats.org/officeDocument/2006/relationships/hyperlink" Target="mailto:jsuematzu@refax.pe" TargetMode="External"/><Relationship Id="rId126" Type="http://schemas.openxmlformats.org/officeDocument/2006/relationships/hyperlink" Target="mailto:aberru@refax.pe" TargetMode="External"/><Relationship Id="rId147" Type="http://schemas.openxmlformats.org/officeDocument/2006/relationships/hyperlink" Target="mailto:amalca.refax@gmail.com" TargetMode="External"/><Relationship Id="rId168" Type="http://schemas.openxmlformats.org/officeDocument/2006/relationships/hyperlink" Target="mailto:drojas.refax@gmail.com" TargetMode="External"/><Relationship Id="rId51" Type="http://schemas.openxmlformats.org/officeDocument/2006/relationships/hyperlink" Target="mailto:wmartinez@refax.pe" TargetMode="External"/><Relationship Id="rId72" Type="http://schemas.openxmlformats.org/officeDocument/2006/relationships/hyperlink" Target="mailto:pagarcia@refax.pe" TargetMode="External"/><Relationship Id="rId93" Type="http://schemas.openxmlformats.org/officeDocument/2006/relationships/hyperlink" Target="mailto:jcavero@refax.pe" TargetMode="External"/><Relationship Id="rId189" Type="http://schemas.openxmlformats.org/officeDocument/2006/relationships/hyperlink" Target="mailto:gmalca.refax@gmail.com" TargetMode="External"/><Relationship Id="rId3" Type="http://schemas.openxmlformats.org/officeDocument/2006/relationships/hyperlink" Target="mailto:jmosquera@refax.pe" TargetMode="External"/><Relationship Id="rId214" Type="http://schemas.openxmlformats.org/officeDocument/2006/relationships/hyperlink" Target="mailto:jtenorio.refax@gmail.com" TargetMode="External"/><Relationship Id="rId235" Type="http://schemas.openxmlformats.org/officeDocument/2006/relationships/hyperlink" Target="mailto:lneyra.refax@gmail.com" TargetMode="External"/><Relationship Id="rId256" Type="http://schemas.openxmlformats.org/officeDocument/2006/relationships/hyperlink" Target="mailto:odiaz.refax@gmail.com" TargetMode="External"/><Relationship Id="rId277" Type="http://schemas.openxmlformats.org/officeDocument/2006/relationships/hyperlink" Target="mailto:ulecca.refax@gmail.com" TargetMode="External"/><Relationship Id="rId298" Type="http://schemas.openxmlformats.org/officeDocument/2006/relationships/hyperlink" Target="mailto:despinoza.refax@gmail.com" TargetMode="External"/><Relationship Id="rId116" Type="http://schemas.openxmlformats.org/officeDocument/2006/relationships/hyperlink" Target="mailto:ga&#241;azco@refax.pe" TargetMode="External"/><Relationship Id="rId137" Type="http://schemas.openxmlformats.org/officeDocument/2006/relationships/hyperlink" Target="mailto:csandoval@refax.pe" TargetMode="External"/><Relationship Id="rId158" Type="http://schemas.openxmlformats.org/officeDocument/2006/relationships/hyperlink" Target="mailto:csandoval.refax@gmail.com" TargetMode="External"/><Relationship Id="rId20" Type="http://schemas.openxmlformats.org/officeDocument/2006/relationships/hyperlink" Target="mailto:mchavez@refax.pe" TargetMode="External"/><Relationship Id="rId41" Type="http://schemas.openxmlformats.org/officeDocument/2006/relationships/hyperlink" Target="mailto:rchumbes@refax.pe" TargetMode="External"/><Relationship Id="rId62" Type="http://schemas.openxmlformats.org/officeDocument/2006/relationships/hyperlink" Target="mailto:srevolledo@refax.pe" TargetMode="External"/><Relationship Id="rId83" Type="http://schemas.openxmlformats.org/officeDocument/2006/relationships/hyperlink" Target="mailto:mflores@refax.pe" TargetMode="External"/><Relationship Id="rId179" Type="http://schemas.openxmlformats.org/officeDocument/2006/relationships/hyperlink" Target="mailto:etiza.refax@gmail.com" TargetMode="External"/><Relationship Id="rId190" Type="http://schemas.openxmlformats.org/officeDocument/2006/relationships/hyperlink" Target="mailto:gbustos.refax@gmail.com" TargetMode="External"/><Relationship Id="rId204" Type="http://schemas.openxmlformats.org/officeDocument/2006/relationships/hyperlink" Target="mailto:juriarte.refax@gmail.com" TargetMode="External"/><Relationship Id="rId225" Type="http://schemas.openxmlformats.org/officeDocument/2006/relationships/hyperlink" Target="mailto:julloa.refax@gmail.com" TargetMode="External"/><Relationship Id="rId246" Type="http://schemas.openxmlformats.org/officeDocument/2006/relationships/hyperlink" Target="mailto:callcenter3.refax@gmail.com" TargetMode="External"/><Relationship Id="rId267" Type="http://schemas.openxmlformats.org/officeDocument/2006/relationships/hyperlink" Target="mailto:rruiz.refax@gmail.com" TargetMode="External"/><Relationship Id="rId288" Type="http://schemas.openxmlformats.org/officeDocument/2006/relationships/hyperlink" Target="mailto:jfernandez@refax.pe" TargetMode="External"/><Relationship Id="rId106" Type="http://schemas.openxmlformats.org/officeDocument/2006/relationships/hyperlink" Target="mailto:igutierrez@refax.pe" TargetMode="External"/><Relationship Id="rId127" Type="http://schemas.openxmlformats.org/officeDocument/2006/relationships/hyperlink" Target="mailto:dserquen@refax.pe" TargetMode="External"/><Relationship Id="rId10" Type="http://schemas.openxmlformats.org/officeDocument/2006/relationships/hyperlink" Target="mailto:eapaza@refax.pe" TargetMode="External"/><Relationship Id="rId31" Type="http://schemas.openxmlformats.org/officeDocument/2006/relationships/hyperlink" Target="mailto:mamoretti@refax.pe" TargetMode="External"/><Relationship Id="rId52" Type="http://schemas.openxmlformats.org/officeDocument/2006/relationships/hyperlink" Target="mailto:ymarin@refax.pe" TargetMode="External"/><Relationship Id="rId73" Type="http://schemas.openxmlformats.org/officeDocument/2006/relationships/hyperlink" Target="mailto:mdiaz@refax.pe" TargetMode="External"/><Relationship Id="rId94" Type="http://schemas.openxmlformats.org/officeDocument/2006/relationships/hyperlink" Target="mailto:abardales@refax.pe" TargetMode="External"/><Relationship Id="rId148" Type="http://schemas.openxmlformats.org/officeDocument/2006/relationships/hyperlink" Target="mailto:aalburqueque.refax@gmail.com" TargetMode="External"/><Relationship Id="rId169" Type="http://schemas.openxmlformats.org/officeDocument/2006/relationships/hyperlink" Target="mailto:dserquen.refax@gmail.com" TargetMode="External"/><Relationship Id="rId4" Type="http://schemas.openxmlformats.org/officeDocument/2006/relationships/hyperlink" Target="mailto:caguirre@refax.pe" TargetMode="External"/><Relationship Id="rId180" Type="http://schemas.openxmlformats.org/officeDocument/2006/relationships/hyperlink" Target="mailto:eapaza.refax@gmail.com" TargetMode="External"/><Relationship Id="rId215" Type="http://schemas.openxmlformats.org/officeDocument/2006/relationships/hyperlink" Target="mailto:jminaya.refax@gmail.com" TargetMode="External"/><Relationship Id="rId236" Type="http://schemas.openxmlformats.org/officeDocument/2006/relationships/hyperlink" Target="mailto:lestrella.refax@gmail.com" TargetMode="External"/><Relationship Id="rId257" Type="http://schemas.openxmlformats.org/officeDocument/2006/relationships/hyperlink" Target="mailto:pagarcia.refax@gmail.com" TargetMode="External"/><Relationship Id="rId278" Type="http://schemas.openxmlformats.org/officeDocument/2006/relationships/hyperlink" Target="mailto:vbecerra.refax@gmail.com" TargetMode="External"/><Relationship Id="rId42" Type="http://schemas.openxmlformats.org/officeDocument/2006/relationships/hyperlink" Target="mailto:rruiz@refax.pe" TargetMode="External"/><Relationship Id="rId84" Type="http://schemas.openxmlformats.org/officeDocument/2006/relationships/hyperlink" Target="mailto:mzavaleta@refax.pe" TargetMode="External"/><Relationship Id="rId138" Type="http://schemas.openxmlformats.org/officeDocument/2006/relationships/hyperlink" Target="mailto:ayataco@refax.pe" TargetMode="External"/><Relationship Id="rId191" Type="http://schemas.openxmlformats.org/officeDocument/2006/relationships/hyperlink" Target="mailto:gnava.refax@gmail.com" TargetMode="External"/><Relationship Id="rId205" Type="http://schemas.openxmlformats.org/officeDocument/2006/relationships/hyperlink" Target="mailto:jhurtado.refax@gmail.com" TargetMode="External"/><Relationship Id="rId247" Type="http://schemas.openxmlformats.org/officeDocument/2006/relationships/hyperlink" Target="mailto:mmalpartida.refax@gmail.com" TargetMode="External"/><Relationship Id="rId107" Type="http://schemas.openxmlformats.org/officeDocument/2006/relationships/hyperlink" Target="mailto:ivalverde@refax.pe" TargetMode="External"/><Relationship Id="rId289" Type="http://schemas.openxmlformats.org/officeDocument/2006/relationships/hyperlink" Target="mailto:jfernandez.refax@gmail.com" TargetMode="External"/><Relationship Id="rId11" Type="http://schemas.openxmlformats.org/officeDocument/2006/relationships/hyperlink" Target="mailto:flaurente@refax.pe" TargetMode="External"/><Relationship Id="rId53" Type="http://schemas.openxmlformats.org/officeDocument/2006/relationships/hyperlink" Target="mailto:cdauditoria@refax.pe" TargetMode="External"/><Relationship Id="rId149" Type="http://schemas.openxmlformats.org/officeDocument/2006/relationships/hyperlink" Target="mailto:ayataco.refax@gmail.com" TargetMode="External"/><Relationship Id="rId95" Type="http://schemas.openxmlformats.org/officeDocument/2006/relationships/hyperlink" Target="mailto:jruiz@refax.pe" TargetMode="External"/><Relationship Id="rId160" Type="http://schemas.openxmlformats.org/officeDocument/2006/relationships/hyperlink" Target="mailto:cphilipps.refax@gmail.com" TargetMode="External"/><Relationship Id="rId216" Type="http://schemas.openxmlformats.org/officeDocument/2006/relationships/hyperlink" Target="mailto:jvila.refax@gmail.com" TargetMode="External"/><Relationship Id="rId258" Type="http://schemas.openxmlformats.org/officeDocument/2006/relationships/hyperlink" Target="mailto:ppayva.refax@gmail.com" TargetMode="External"/><Relationship Id="rId22" Type="http://schemas.openxmlformats.org/officeDocument/2006/relationships/hyperlink" Target="mailto:jvila@refax.pe" TargetMode="External"/><Relationship Id="rId64" Type="http://schemas.openxmlformats.org/officeDocument/2006/relationships/hyperlink" Target="mailto:rpillaca@refax.pe" TargetMode="External"/><Relationship Id="rId118" Type="http://schemas.openxmlformats.org/officeDocument/2006/relationships/hyperlink" Target="mailto:rsalazar@refax.pe" TargetMode="External"/><Relationship Id="rId171" Type="http://schemas.openxmlformats.org/officeDocument/2006/relationships/hyperlink" Target="mailto:dgonia.refax@gmail.com" TargetMode="External"/><Relationship Id="rId227" Type="http://schemas.openxmlformats.org/officeDocument/2006/relationships/hyperlink" Target="mailto:supdevoluciones1.refax@gmail.com" TargetMode="External"/><Relationship Id="rId269" Type="http://schemas.openxmlformats.org/officeDocument/2006/relationships/hyperlink" Target="mailto:rpillaca.refax@gmail.com" TargetMode="External"/><Relationship Id="rId33" Type="http://schemas.openxmlformats.org/officeDocument/2006/relationships/hyperlink" Target="mailto:mplasencia@refax.pe" TargetMode="External"/><Relationship Id="rId129" Type="http://schemas.openxmlformats.org/officeDocument/2006/relationships/hyperlink" Target="mailto:cdiaz@refax.pe" TargetMode="External"/><Relationship Id="rId280" Type="http://schemas.openxmlformats.org/officeDocument/2006/relationships/hyperlink" Target="mailto:vpinedo.refax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mailto:flaurente@refax.pe" TargetMode="External"/><Relationship Id="rId21" Type="http://schemas.openxmlformats.org/officeDocument/2006/relationships/hyperlink" Target="mailto:cramirez@refax.pe" TargetMode="External"/><Relationship Id="rId42" Type="http://schemas.openxmlformats.org/officeDocument/2006/relationships/hyperlink" Target="mailto:kdelbueno@refax.pe" TargetMode="External"/><Relationship Id="rId47" Type="http://schemas.openxmlformats.org/officeDocument/2006/relationships/hyperlink" Target="mailto:dserquen@refax.pe" TargetMode="External"/><Relationship Id="rId63" Type="http://schemas.openxmlformats.org/officeDocument/2006/relationships/hyperlink" Target="mailto:dhernandez@refax.pe" TargetMode="External"/><Relationship Id="rId68" Type="http://schemas.openxmlformats.org/officeDocument/2006/relationships/hyperlink" Target="mailto:jminaya@refax.pe" TargetMode="External"/><Relationship Id="rId84" Type="http://schemas.openxmlformats.org/officeDocument/2006/relationships/hyperlink" Target="mailto:gtocas@refax.pe" TargetMode="External"/><Relationship Id="rId16" Type="http://schemas.openxmlformats.org/officeDocument/2006/relationships/hyperlink" Target="mailto:dhernandez@refax.pe" TargetMode="External"/><Relationship Id="rId11" Type="http://schemas.openxmlformats.org/officeDocument/2006/relationships/hyperlink" Target="mailto:kdelbueno@refax.pe" TargetMode="External"/><Relationship Id="rId32" Type="http://schemas.openxmlformats.org/officeDocument/2006/relationships/hyperlink" Target="mailto:gsoller@refax.pe" TargetMode="External"/><Relationship Id="rId37" Type="http://schemas.openxmlformats.org/officeDocument/2006/relationships/hyperlink" Target="mailto:jruiz@refax.pe" TargetMode="External"/><Relationship Id="rId53" Type="http://schemas.openxmlformats.org/officeDocument/2006/relationships/hyperlink" Target="mailto:rpillaca@refax.pe" TargetMode="External"/><Relationship Id="rId58" Type="http://schemas.openxmlformats.org/officeDocument/2006/relationships/hyperlink" Target="mailto:impresorahp@refax.pe" TargetMode="External"/><Relationship Id="rId74" Type="http://schemas.openxmlformats.org/officeDocument/2006/relationships/hyperlink" Target="mailto:jvaccaro@refax.pe" TargetMode="External"/><Relationship Id="rId79" Type="http://schemas.openxmlformats.org/officeDocument/2006/relationships/hyperlink" Target="mailto:pbravo@refax.pe" TargetMode="External"/><Relationship Id="rId5" Type="http://schemas.openxmlformats.org/officeDocument/2006/relationships/hyperlink" Target="mailto:impresorahp@refax.pe" TargetMode="External"/><Relationship Id="rId19" Type="http://schemas.openxmlformats.org/officeDocument/2006/relationships/hyperlink" Target="mailto:jcueva@refax.pe" TargetMode="External"/><Relationship Id="rId14" Type="http://schemas.openxmlformats.org/officeDocument/2006/relationships/hyperlink" Target="mailto:gbustos@refax.pe" TargetMode="External"/><Relationship Id="rId22" Type="http://schemas.openxmlformats.org/officeDocument/2006/relationships/hyperlink" Target="mailto:carevalo@refax.pe" TargetMode="External"/><Relationship Id="rId27" Type="http://schemas.openxmlformats.org/officeDocument/2006/relationships/hyperlink" Target="mailto:cabregu@refax.pe" TargetMode="External"/><Relationship Id="rId30" Type="http://schemas.openxmlformats.org/officeDocument/2006/relationships/hyperlink" Target="mailto:comunicacionesinternas@refax.pe" TargetMode="External"/><Relationship Id="rId35" Type="http://schemas.openxmlformats.org/officeDocument/2006/relationships/hyperlink" Target="mailto:mzavaleta@refax.pe" TargetMode="External"/><Relationship Id="rId43" Type="http://schemas.openxmlformats.org/officeDocument/2006/relationships/hyperlink" Target="mailto:receptor@refax.pe" TargetMode="External"/><Relationship Id="rId48" Type="http://schemas.openxmlformats.org/officeDocument/2006/relationships/hyperlink" Target="mailto:rcaceres@refax.pe" TargetMode="External"/><Relationship Id="rId56" Type="http://schemas.openxmlformats.org/officeDocument/2006/relationships/hyperlink" Target="mailto:avargas@refax.pe" TargetMode="External"/><Relationship Id="rId64" Type="http://schemas.openxmlformats.org/officeDocument/2006/relationships/hyperlink" Target="mailto:comunicacionesinternas@refax.pe" TargetMode="External"/><Relationship Id="rId69" Type="http://schemas.openxmlformats.org/officeDocument/2006/relationships/hyperlink" Target="mailto:aarispe@refax.pe" TargetMode="External"/><Relationship Id="rId77" Type="http://schemas.openxmlformats.org/officeDocument/2006/relationships/hyperlink" Target="mailto:kdelbueno@refax.pe" TargetMode="External"/><Relationship Id="rId8" Type="http://schemas.openxmlformats.org/officeDocument/2006/relationships/hyperlink" Target="mailto:pbravo@refax.pe" TargetMode="External"/><Relationship Id="rId51" Type="http://schemas.openxmlformats.org/officeDocument/2006/relationships/hyperlink" Target="mailto:fotero@refax.pe" TargetMode="External"/><Relationship Id="rId72" Type="http://schemas.openxmlformats.org/officeDocument/2006/relationships/hyperlink" Target="mailto:jruiz@refax.pe" TargetMode="External"/><Relationship Id="rId80" Type="http://schemas.openxmlformats.org/officeDocument/2006/relationships/hyperlink" Target="mailto:rcaceres@refax.pe" TargetMode="External"/><Relationship Id="rId85" Type="http://schemas.openxmlformats.org/officeDocument/2006/relationships/table" Target="../tables/table8.xml"/><Relationship Id="rId3" Type="http://schemas.openxmlformats.org/officeDocument/2006/relationships/hyperlink" Target="mailto:mpizarro@refax.pe" TargetMode="External"/><Relationship Id="rId12" Type="http://schemas.openxmlformats.org/officeDocument/2006/relationships/hyperlink" Target="mailto:receptor@refax.pe" TargetMode="External"/><Relationship Id="rId17" Type="http://schemas.openxmlformats.org/officeDocument/2006/relationships/hyperlink" Target="mailto:mpizarro@refax.pe" TargetMode="External"/><Relationship Id="rId25" Type="http://schemas.openxmlformats.org/officeDocument/2006/relationships/hyperlink" Target="mailto:asotero@refax.pe" TargetMode="External"/><Relationship Id="rId33" Type="http://schemas.openxmlformats.org/officeDocument/2006/relationships/hyperlink" Target="mailto:jminaya@refax.pe" TargetMode="External"/><Relationship Id="rId38" Type="http://schemas.openxmlformats.org/officeDocument/2006/relationships/hyperlink" Target="mailto:jcavero@refax.pe" TargetMode="External"/><Relationship Id="rId46" Type="http://schemas.openxmlformats.org/officeDocument/2006/relationships/hyperlink" Target="mailto:jvaccaro@refax.pe" TargetMode="External"/><Relationship Id="rId59" Type="http://schemas.openxmlformats.org/officeDocument/2006/relationships/hyperlink" Target="mailto:asotero@refax.pe" TargetMode="External"/><Relationship Id="rId67" Type="http://schemas.openxmlformats.org/officeDocument/2006/relationships/hyperlink" Target="mailto:gsoller@refax.pe" TargetMode="External"/><Relationship Id="rId20" Type="http://schemas.openxmlformats.org/officeDocument/2006/relationships/hyperlink" Target="mailto:rpillaca@refax.pe" TargetMode="External"/><Relationship Id="rId41" Type="http://schemas.openxmlformats.org/officeDocument/2006/relationships/hyperlink" Target="mailto:acubas@refax.pe" TargetMode="External"/><Relationship Id="rId54" Type="http://schemas.openxmlformats.org/officeDocument/2006/relationships/hyperlink" Target="mailto:cramirez@refax.pe" TargetMode="External"/><Relationship Id="rId62" Type="http://schemas.openxmlformats.org/officeDocument/2006/relationships/hyperlink" Target="mailto:jestrada@refax.pe" TargetMode="External"/><Relationship Id="rId70" Type="http://schemas.openxmlformats.org/officeDocument/2006/relationships/hyperlink" Target="mailto:mzavaleta@refax.pe" TargetMode="External"/><Relationship Id="rId75" Type="http://schemas.openxmlformats.org/officeDocument/2006/relationships/hyperlink" Target="mailto:dserquen@refax.pe" TargetMode="External"/><Relationship Id="rId83" Type="http://schemas.openxmlformats.org/officeDocument/2006/relationships/hyperlink" Target="mailto:rcaceres@refax.pe" TargetMode="External"/><Relationship Id="rId1" Type="http://schemas.openxmlformats.org/officeDocument/2006/relationships/hyperlink" Target="mailto:Peruvia453@gmail.com" TargetMode="External"/><Relationship Id="rId6" Type="http://schemas.openxmlformats.org/officeDocument/2006/relationships/hyperlink" Target="mailto:jminaya@refax.pe" TargetMode="External"/><Relationship Id="rId15" Type="http://schemas.openxmlformats.org/officeDocument/2006/relationships/hyperlink" Target="mailto:rnurena@refax.pe" TargetMode="External"/><Relationship Id="rId23" Type="http://schemas.openxmlformats.org/officeDocument/2006/relationships/hyperlink" Target="mailto:impresorahp@refax.pe" TargetMode="External"/><Relationship Id="rId28" Type="http://schemas.openxmlformats.org/officeDocument/2006/relationships/hyperlink" Target="mailto:jestrada@refax.pe" TargetMode="External"/><Relationship Id="rId36" Type="http://schemas.openxmlformats.org/officeDocument/2006/relationships/hyperlink" Target="mailto:wruiz@refax.pe" TargetMode="External"/><Relationship Id="rId49" Type="http://schemas.openxmlformats.org/officeDocument/2006/relationships/hyperlink" Target="mailto:facturador_cd@refax.pe" TargetMode="External"/><Relationship Id="rId57" Type="http://schemas.openxmlformats.org/officeDocument/2006/relationships/hyperlink" Target="mailto:carevalo@refax.pe" TargetMode="External"/><Relationship Id="rId10" Type="http://schemas.openxmlformats.org/officeDocument/2006/relationships/hyperlink" Target="mailto:acubas@refax.pe" TargetMode="External"/><Relationship Id="rId31" Type="http://schemas.openxmlformats.org/officeDocument/2006/relationships/hyperlink" Target="mailto:gbustos@refax.pe" TargetMode="External"/><Relationship Id="rId44" Type="http://schemas.openxmlformats.org/officeDocument/2006/relationships/hyperlink" Target="mailto:rsalazar@refax.pe" TargetMode="External"/><Relationship Id="rId52" Type="http://schemas.openxmlformats.org/officeDocument/2006/relationships/hyperlink" Target="mailto:jcueva@refax.pe" TargetMode="External"/><Relationship Id="rId60" Type="http://schemas.openxmlformats.org/officeDocument/2006/relationships/hyperlink" Target="mailto:flaurente@refax.pe" TargetMode="External"/><Relationship Id="rId65" Type="http://schemas.openxmlformats.org/officeDocument/2006/relationships/hyperlink" Target="mailto:receptor@refax.pe" TargetMode="External"/><Relationship Id="rId73" Type="http://schemas.openxmlformats.org/officeDocument/2006/relationships/hyperlink" Target="mailto:rsalazar@refax.pe" TargetMode="External"/><Relationship Id="rId78" Type="http://schemas.openxmlformats.org/officeDocument/2006/relationships/hyperlink" Target="mailto:acubas@refax.pe" TargetMode="External"/><Relationship Id="rId81" Type="http://schemas.openxmlformats.org/officeDocument/2006/relationships/hyperlink" Target="mailto:facturador_cd@refax.pe" TargetMode="External"/><Relationship Id="rId4" Type="http://schemas.openxmlformats.org/officeDocument/2006/relationships/hyperlink" Target="mailto:fotero@refax.pe" TargetMode="External"/><Relationship Id="rId9" Type="http://schemas.openxmlformats.org/officeDocument/2006/relationships/hyperlink" Target="mailto:alluen@refax.pe" TargetMode="External"/><Relationship Id="rId13" Type="http://schemas.openxmlformats.org/officeDocument/2006/relationships/hyperlink" Target="mailto:rsalazar@refax.pe" TargetMode="External"/><Relationship Id="rId18" Type="http://schemas.openxmlformats.org/officeDocument/2006/relationships/hyperlink" Target="mailto:fotero@refax.pe" TargetMode="External"/><Relationship Id="rId39" Type="http://schemas.openxmlformats.org/officeDocument/2006/relationships/hyperlink" Target="mailto:pbravo@refax.pe" TargetMode="External"/><Relationship Id="rId34" Type="http://schemas.openxmlformats.org/officeDocument/2006/relationships/hyperlink" Target="mailto:aarispe@refax.pe" TargetMode="External"/><Relationship Id="rId50" Type="http://schemas.openxmlformats.org/officeDocument/2006/relationships/hyperlink" Target="mailto:mpizarro@refax.pe" TargetMode="External"/><Relationship Id="rId55" Type="http://schemas.openxmlformats.org/officeDocument/2006/relationships/hyperlink" Target="mailto:jsuematzu@refax.pe" TargetMode="External"/><Relationship Id="rId76" Type="http://schemas.openxmlformats.org/officeDocument/2006/relationships/hyperlink" Target="mailto:alluen@refax.pe" TargetMode="External"/><Relationship Id="rId7" Type="http://schemas.openxmlformats.org/officeDocument/2006/relationships/hyperlink" Target="mailto:aarispe@refax.pe" TargetMode="External"/><Relationship Id="rId71" Type="http://schemas.openxmlformats.org/officeDocument/2006/relationships/hyperlink" Target="mailto:wruiz@refax.pe" TargetMode="External"/><Relationship Id="rId2" Type="http://schemas.openxmlformats.org/officeDocument/2006/relationships/hyperlink" Target="mailto:putelas53@gmail.com" TargetMode="External"/><Relationship Id="rId29" Type="http://schemas.openxmlformats.org/officeDocument/2006/relationships/hyperlink" Target="mailto:dhernandez@refax.pe" TargetMode="External"/><Relationship Id="rId24" Type="http://schemas.openxmlformats.org/officeDocument/2006/relationships/hyperlink" Target="mailto:jsuematzu@refax.pe" TargetMode="External"/><Relationship Id="rId40" Type="http://schemas.openxmlformats.org/officeDocument/2006/relationships/hyperlink" Target="mailto:alluen@refax.pe" TargetMode="External"/><Relationship Id="rId45" Type="http://schemas.openxmlformats.org/officeDocument/2006/relationships/hyperlink" Target="mailto:rnurena@refax.pe" TargetMode="External"/><Relationship Id="rId66" Type="http://schemas.openxmlformats.org/officeDocument/2006/relationships/hyperlink" Target="mailto:gbustos@refax.pe" TargetMode="External"/><Relationship Id="rId61" Type="http://schemas.openxmlformats.org/officeDocument/2006/relationships/hyperlink" Target="mailto:cabregu@refax.pe" TargetMode="External"/><Relationship Id="rId82" Type="http://schemas.openxmlformats.org/officeDocument/2006/relationships/hyperlink" Target="mailto:pagarcia@refax.pe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07DFE-B520-445B-8272-8241F88C2B5C}">
  <dimension ref="A1:Q133"/>
  <sheetViews>
    <sheetView zoomScaleNormal="100" workbookViewId="0">
      <selection activeCell="O8" sqref="O8"/>
    </sheetView>
  </sheetViews>
  <sheetFormatPr defaultColWidth="11.42578125" defaultRowHeight="15"/>
  <sheetData>
    <row r="1" spans="1:17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>
      <c r="A2" s="34"/>
      <c r="B2" s="75" t="e" vm="1">
        <v>#VALUE!</v>
      </c>
      <c r="C2" s="75"/>
      <c r="D2" s="34"/>
      <c r="E2" s="76" t="s">
        <v>0</v>
      </c>
      <c r="F2" s="76"/>
      <c r="G2" s="76"/>
      <c r="H2" s="76"/>
      <c r="I2" s="76"/>
      <c r="J2" s="76"/>
      <c r="K2" s="76"/>
      <c r="L2" s="34"/>
      <c r="M2" s="75" t="e" vm="2">
        <v>#VALUE!</v>
      </c>
      <c r="N2" s="75"/>
      <c r="O2" s="34"/>
      <c r="P2" s="34"/>
      <c r="Q2" s="34"/>
    </row>
    <row r="3" spans="1:17">
      <c r="A3" s="34"/>
      <c r="B3" s="75"/>
      <c r="C3" s="75"/>
      <c r="D3" s="34"/>
      <c r="E3" s="76"/>
      <c r="F3" s="76"/>
      <c r="G3" s="76"/>
      <c r="H3" s="76"/>
      <c r="I3" s="76"/>
      <c r="J3" s="76"/>
      <c r="K3" s="76"/>
      <c r="L3" s="34"/>
      <c r="M3" s="75"/>
      <c r="N3" s="75"/>
      <c r="O3" s="34"/>
      <c r="P3" s="34"/>
      <c r="Q3" s="34"/>
    </row>
    <row r="4" spans="1:17">
      <c r="A4" s="34"/>
      <c r="B4" s="75"/>
      <c r="C4" s="75"/>
      <c r="D4" s="34"/>
      <c r="E4" s="76"/>
      <c r="F4" s="76"/>
      <c r="G4" s="76"/>
      <c r="H4" s="76"/>
      <c r="I4" s="76"/>
      <c r="J4" s="76"/>
      <c r="K4" s="76"/>
      <c r="L4" s="34"/>
      <c r="M4" s="75"/>
      <c r="N4" s="75"/>
      <c r="O4" s="34"/>
      <c r="P4" s="34"/>
      <c r="Q4" s="34"/>
    </row>
    <row r="5" spans="1:17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  <row r="6" spans="1:17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</row>
    <row r="7" spans="1:17">
      <c r="A7" s="34"/>
      <c r="B7" s="34"/>
      <c r="C7" s="34"/>
      <c r="D7" s="77" t="s">
        <v>1</v>
      </c>
      <c r="E7" s="77"/>
      <c r="F7" s="77"/>
      <c r="G7" s="77"/>
      <c r="H7" s="77"/>
      <c r="I7" s="77"/>
      <c r="J7" s="77"/>
      <c r="K7" s="34"/>
      <c r="L7" s="34"/>
      <c r="M7" s="34"/>
      <c r="N7" s="34"/>
      <c r="O7" s="34"/>
      <c r="P7" s="34"/>
      <c r="Q7" s="34"/>
    </row>
    <row r="8" spans="1:17">
      <c r="A8" s="34"/>
      <c r="B8" s="34"/>
      <c r="C8" s="34"/>
      <c r="D8" s="77"/>
      <c r="E8" s="77"/>
      <c r="F8" s="77"/>
      <c r="G8" s="77"/>
      <c r="H8" s="77"/>
      <c r="I8" s="77"/>
      <c r="J8" s="77"/>
      <c r="K8" s="34"/>
      <c r="L8" s="34"/>
      <c r="M8" s="34"/>
      <c r="N8" s="34"/>
      <c r="O8" s="34"/>
      <c r="P8" s="34"/>
      <c r="Q8" s="34"/>
    </row>
    <row r="9" spans="1:17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</row>
    <row r="10" spans="1:17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</row>
    <row r="11" spans="1:17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</row>
    <row r="12" spans="1:17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</row>
    <row r="13" spans="1:17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</row>
    <row r="14" spans="1:17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</row>
    <row r="15" spans="1:17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</row>
    <row r="16" spans="1:17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</row>
    <row r="17" spans="1: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</row>
    <row r="18" spans="1:17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</row>
    <row r="19" spans="1:17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</row>
    <row r="20" spans="1:17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</row>
    <row r="21" spans="1:17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</row>
    <row r="22" spans="1:17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</row>
    <row r="23" spans="1:17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</row>
    <row r="24" spans="1:17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</row>
    <row r="25" spans="1:17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</row>
    <row r="26" spans="1:17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</row>
    <row r="27" spans="1:1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</row>
    <row r="28" spans="1:17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</row>
    <row r="29" spans="1:17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</row>
    <row r="30" spans="1:17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</row>
    <row r="31" spans="1:17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</row>
    <row r="32" spans="1:17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</row>
    <row r="33" spans="1:17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</row>
    <row r="34" spans="1:17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</row>
    <row r="35" spans="1:17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</row>
    <row r="36" spans="1:17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</row>
    <row r="37" spans="1:1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</row>
    <row r="38" spans="1:17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</row>
    <row r="39" spans="1:17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</row>
    <row r="40" spans="1:17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spans="1:17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</row>
    <row r="42" spans="1:17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</row>
    <row r="43" spans="1:17">
      <c r="A43" s="34"/>
      <c r="B43" s="34"/>
      <c r="C43" s="34"/>
      <c r="D43" s="77" t="s">
        <v>2</v>
      </c>
      <c r="E43" s="77"/>
      <c r="F43" s="77"/>
      <c r="G43" s="77"/>
      <c r="H43" s="77"/>
      <c r="I43" s="77"/>
      <c r="J43" s="77"/>
      <c r="K43" s="34"/>
      <c r="L43" s="34"/>
      <c r="M43" s="34"/>
      <c r="N43" s="34"/>
      <c r="O43" s="34"/>
      <c r="P43" s="34"/>
      <c r="Q43" s="34"/>
    </row>
    <row r="44" spans="1:17">
      <c r="A44" s="34"/>
      <c r="B44" s="34"/>
      <c r="C44" s="34"/>
      <c r="D44" s="77"/>
      <c r="E44" s="77"/>
      <c r="F44" s="77"/>
      <c r="G44" s="77"/>
      <c r="H44" s="77"/>
      <c r="I44" s="77"/>
      <c r="J44" s="77"/>
      <c r="K44" s="34"/>
      <c r="L44" s="34"/>
      <c r="M44" s="34"/>
      <c r="N44" s="34"/>
      <c r="O44" s="34"/>
      <c r="P44" s="34"/>
      <c r="Q44" s="34"/>
    </row>
    <row r="45" spans="1:17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</row>
    <row r="46" spans="1:17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</row>
    <row r="47" spans="1:1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</row>
    <row r="48" spans="1:17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</row>
    <row r="49" spans="1:17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</row>
    <row r="50" spans="1:17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</row>
    <row r="51" spans="1:17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</row>
    <row r="52" spans="1:17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</row>
    <row r="53" spans="1:17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</row>
    <row r="54" spans="1:17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</row>
    <row r="55" spans="1:17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</row>
    <row r="56" spans="1:17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</row>
    <row r="57" spans="1:1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</row>
    <row r="58" spans="1:17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</row>
    <row r="59" spans="1:17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</row>
    <row r="60" spans="1:17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</row>
    <row r="61" spans="1:17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</row>
    <row r="62" spans="1:17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</row>
    <row r="63" spans="1:17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</row>
    <row r="64" spans="1:17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</row>
    <row r="65" spans="1:17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</row>
    <row r="66" spans="1:17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</row>
    <row r="67" spans="1:1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</row>
    <row r="68" spans="1:17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</row>
    <row r="69" spans="1:17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</row>
    <row r="70" spans="1:17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</row>
    <row r="71" spans="1:17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</row>
    <row r="72" spans="1:17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</row>
    <row r="73" spans="1:17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</row>
    <row r="74" spans="1:17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</row>
    <row r="75" spans="1:17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</row>
    <row r="76" spans="1:17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</row>
    <row r="77" spans="1:1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</row>
    <row r="78" spans="1:17">
      <c r="A78" s="34"/>
      <c r="B78" s="34"/>
      <c r="C78" s="34"/>
      <c r="D78" s="77" t="s">
        <v>3</v>
      </c>
      <c r="E78" s="77"/>
      <c r="F78" s="77"/>
      <c r="G78" s="77"/>
      <c r="H78" s="77"/>
      <c r="I78" s="77"/>
      <c r="J78" s="77"/>
      <c r="K78" s="34"/>
      <c r="L78" s="34"/>
      <c r="M78" s="34"/>
      <c r="N78" s="34"/>
      <c r="O78" s="34"/>
      <c r="P78" s="34"/>
      <c r="Q78" s="34"/>
    </row>
    <row r="79" spans="1:17">
      <c r="A79" s="34"/>
      <c r="B79" s="34"/>
      <c r="C79" s="34"/>
      <c r="D79" s="77"/>
      <c r="E79" s="77"/>
      <c r="F79" s="77"/>
      <c r="G79" s="77"/>
      <c r="H79" s="77"/>
      <c r="I79" s="77"/>
      <c r="J79" s="77"/>
      <c r="K79" s="34"/>
      <c r="L79" s="34"/>
      <c r="M79" s="34"/>
      <c r="N79" s="34"/>
      <c r="O79" s="34"/>
      <c r="P79" s="34"/>
      <c r="Q79" s="34"/>
    </row>
    <row r="80" spans="1:17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</row>
    <row r="81" spans="1:17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</row>
    <row r="82" spans="1:17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</row>
    <row r="83" spans="1:17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</row>
    <row r="84" spans="1:17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</row>
    <row r="85" spans="1:17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</row>
    <row r="86" spans="1:17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</row>
    <row r="87" spans="1:1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</row>
    <row r="88" spans="1:17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</row>
    <row r="89" spans="1:17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</row>
    <row r="90" spans="1:17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</row>
    <row r="91" spans="1:17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</row>
    <row r="92" spans="1:17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</row>
    <row r="93" spans="1:17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</row>
    <row r="94" spans="1:17">
      <c r="A94" s="34"/>
      <c r="B94" s="34"/>
      <c r="C94" s="34"/>
      <c r="D94" s="34"/>
      <c r="E94" s="34"/>
      <c r="F94" s="34"/>
      <c r="G94" s="36"/>
      <c r="H94" s="34"/>
      <c r="I94" s="34"/>
      <c r="J94" s="34"/>
      <c r="K94" s="34"/>
      <c r="L94" s="34"/>
      <c r="M94" s="34"/>
      <c r="N94" s="34"/>
      <c r="O94" s="34"/>
      <c r="P94" s="34"/>
      <c r="Q94" s="34"/>
    </row>
    <row r="95" spans="1:17">
      <c r="A95" s="34"/>
      <c r="B95" s="34"/>
      <c r="C95" s="34"/>
      <c r="D95" s="34"/>
      <c r="E95" s="34"/>
      <c r="F95" s="34"/>
      <c r="G95" s="37"/>
      <c r="H95" s="34"/>
      <c r="I95" s="34"/>
      <c r="J95" s="34"/>
      <c r="K95" s="34"/>
      <c r="L95" s="34"/>
      <c r="M95" s="34"/>
      <c r="N95" s="34"/>
      <c r="O95" s="34"/>
      <c r="P95" s="34"/>
      <c r="Q95" s="34"/>
    </row>
    <row r="96" spans="1:17" ht="15" customHeight="1">
      <c r="A96" s="34"/>
      <c r="B96" s="78" t="s">
        <v>4</v>
      </c>
      <c r="C96" s="78"/>
      <c r="D96" s="78"/>
      <c r="E96" s="78"/>
      <c r="F96" s="78"/>
      <c r="G96" s="37"/>
      <c r="H96" s="34"/>
      <c r="I96" s="34"/>
      <c r="J96" s="78" t="s">
        <v>5</v>
      </c>
      <c r="K96" s="78"/>
      <c r="L96" s="78"/>
      <c r="M96" s="78"/>
      <c r="N96" s="78"/>
      <c r="O96" s="78"/>
      <c r="P96" s="34"/>
      <c r="Q96" s="34"/>
    </row>
    <row r="97" spans="1:17" ht="15" customHeight="1">
      <c r="A97" s="34"/>
      <c r="B97" s="78"/>
      <c r="C97" s="78"/>
      <c r="D97" s="78"/>
      <c r="E97" s="78"/>
      <c r="F97" s="78"/>
      <c r="G97" s="37"/>
      <c r="H97" s="34"/>
      <c r="I97" s="34"/>
      <c r="J97" s="78"/>
      <c r="K97" s="78"/>
      <c r="L97" s="78"/>
      <c r="M97" s="78"/>
      <c r="N97" s="78"/>
      <c r="O97" s="78"/>
      <c r="P97" s="34"/>
      <c r="Q97" s="34"/>
    </row>
    <row r="98" spans="1:17">
      <c r="A98" s="34"/>
      <c r="B98" s="34"/>
      <c r="C98" s="34"/>
      <c r="D98" s="34"/>
      <c r="E98" s="34"/>
      <c r="F98" s="34"/>
      <c r="G98" s="37"/>
      <c r="H98" s="34"/>
      <c r="I98" s="34"/>
      <c r="J98" s="34"/>
      <c r="K98" s="34"/>
      <c r="L98" s="34"/>
      <c r="M98" s="34"/>
      <c r="N98" s="34"/>
      <c r="O98" s="34"/>
      <c r="P98" s="34"/>
      <c r="Q98" s="34"/>
    </row>
    <row r="99" spans="1:17">
      <c r="A99" s="34"/>
      <c r="B99" s="34"/>
      <c r="C99" s="34"/>
      <c r="D99" s="34"/>
      <c r="E99" s="34"/>
      <c r="F99" s="34"/>
      <c r="G99" s="37"/>
      <c r="H99" s="34"/>
      <c r="I99" s="34"/>
      <c r="J99" s="34"/>
      <c r="K99" s="34"/>
      <c r="L99" s="34"/>
      <c r="M99" s="34"/>
      <c r="N99" s="34"/>
      <c r="O99" s="34"/>
      <c r="P99" s="34"/>
      <c r="Q99" s="34"/>
    </row>
    <row r="100" spans="1:17">
      <c r="A100" s="34"/>
      <c r="B100" s="34"/>
      <c r="C100" s="34"/>
      <c r="D100" s="34"/>
      <c r="E100" s="34"/>
      <c r="F100" s="34"/>
      <c r="G100" s="37"/>
      <c r="H100" s="34"/>
      <c r="I100" s="34"/>
      <c r="J100" s="34"/>
      <c r="K100" s="34"/>
      <c r="L100" s="34"/>
      <c r="M100" s="34"/>
      <c r="N100" s="34"/>
      <c r="O100" s="34"/>
      <c r="P100" s="34"/>
      <c r="Q100" s="34"/>
    </row>
    <row r="101" spans="1:17">
      <c r="A101" s="34"/>
      <c r="B101" s="34"/>
      <c r="C101" s="34"/>
      <c r="D101" s="34"/>
      <c r="E101" s="34"/>
      <c r="F101" s="34"/>
      <c r="G101" s="37"/>
      <c r="H101" s="34"/>
      <c r="I101" s="34"/>
      <c r="J101" s="34"/>
      <c r="K101" s="34"/>
      <c r="L101" s="34"/>
      <c r="M101" s="34"/>
      <c r="N101" s="34"/>
      <c r="O101" s="34"/>
      <c r="P101" s="34"/>
      <c r="Q101" s="34"/>
    </row>
    <row r="102" spans="1:17">
      <c r="A102" s="34"/>
      <c r="B102" s="34"/>
      <c r="C102" s="34"/>
      <c r="D102" s="34"/>
      <c r="E102" s="34"/>
      <c r="F102" s="34"/>
      <c r="G102" s="37"/>
      <c r="H102" s="34"/>
      <c r="I102" s="34"/>
      <c r="J102" s="34"/>
      <c r="K102" s="34"/>
      <c r="L102" s="34"/>
      <c r="M102" s="34"/>
      <c r="N102" s="34"/>
      <c r="O102" s="34"/>
      <c r="P102" s="34"/>
      <c r="Q102" s="34"/>
    </row>
    <row r="103" spans="1:17">
      <c r="A103" s="34"/>
      <c r="B103" s="34"/>
      <c r="C103" s="34"/>
      <c r="D103" s="34"/>
      <c r="E103" s="34"/>
      <c r="F103" s="34"/>
      <c r="G103" s="37"/>
      <c r="H103" s="34"/>
      <c r="I103" s="34"/>
      <c r="J103" s="34"/>
      <c r="K103" s="34"/>
      <c r="L103" s="34"/>
      <c r="M103" s="34"/>
      <c r="N103" s="34"/>
      <c r="O103" s="34"/>
      <c r="P103" s="34"/>
      <c r="Q103" s="34"/>
    </row>
    <row r="104" spans="1:17">
      <c r="A104" s="34"/>
      <c r="B104" s="34"/>
      <c r="C104" s="34"/>
      <c r="D104" s="34"/>
      <c r="E104" s="34"/>
      <c r="F104" s="34"/>
      <c r="G104" s="37"/>
      <c r="H104" s="34"/>
      <c r="I104" s="34"/>
      <c r="J104" s="34"/>
      <c r="K104" s="34"/>
      <c r="L104" s="34"/>
      <c r="M104" s="34"/>
      <c r="N104" s="34"/>
      <c r="O104" s="34"/>
      <c r="P104" s="34"/>
      <c r="Q104" s="34"/>
    </row>
    <row r="105" spans="1:17">
      <c r="A105" s="34"/>
      <c r="B105" s="34"/>
      <c r="C105" s="34"/>
      <c r="D105" s="34"/>
      <c r="E105" s="34"/>
      <c r="F105" s="34"/>
      <c r="G105" s="37"/>
      <c r="H105" s="34"/>
      <c r="I105" s="34"/>
      <c r="J105" s="34"/>
      <c r="K105" s="34"/>
      <c r="L105" s="34"/>
      <c r="M105" s="34"/>
      <c r="N105" s="34"/>
      <c r="O105" s="34"/>
      <c r="P105" s="34"/>
      <c r="Q105" s="34"/>
    </row>
    <row r="106" spans="1:17">
      <c r="A106" s="34"/>
      <c r="B106" s="34"/>
      <c r="C106" s="34"/>
      <c r="D106" s="34"/>
      <c r="E106" s="34"/>
      <c r="F106" s="34"/>
      <c r="G106" s="37"/>
      <c r="H106" s="34"/>
      <c r="I106" s="34"/>
      <c r="J106" s="34"/>
      <c r="K106" s="34"/>
      <c r="L106" s="34"/>
      <c r="M106" s="34"/>
      <c r="N106" s="34"/>
      <c r="O106" s="34"/>
      <c r="P106" s="34"/>
      <c r="Q106" s="34"/>
    </row>
    <row r="107" spans="1:17" ht="15" customHeight="1">
      <c r="A107" s="34"/>
      <c r="B107" s="34"/>
      <c r="C107" s="34"/>
      <c r="D107" s="34"/>
      <c r="E107" s="34"/>
      <c r="F107" s="34"/>
      <c r="G107" s="37"/>
      <c r="H107" s="34"/>
      <c r="I107" s="34"/>
      <c r="J107" s="34"/>
      <c r="K107" s="34"/>
      <c r="L107" s="34"/>
      <c r="M107" s="34"/>
      <c r="N107" s="34"/>
      <c r="O107" s="34"/>
      <c r="P107" s="34"/>
      <c r="Q107" s="34"/>
    </row>
    <row r="108" spans="1:17" ht="15" customHeight="1">
      <c r="A108" s="34"/>
      <c r="B108" s="34"/>
      <c r="C108" s="34"/>
      <c r="D108" s="34"/>
      <c r="E108" s="34"/>
      <c r="F108" s="34"/>
      <c r="G108" s="37"/>
      <c r="H108" s="34"/>
      <c r="I108" s="34"/>
      <c r="J108" s="34"/>
      <c r="K108" s="34"/>
      <c r="L108" s="34"/>
      <c r="M108" s="34"/>
      <c r="N108" s="34"/>
      <c r="O108" s="34"/>
      <c r="P108" s="34"/>
      <c r="Q108" s="34"/>
    </row>
    <row r="109" spans="1:17">
      <c r="A109" s="34"/>
      <c r="B109" s="34"/>
      <c r="C109" s="34"/>
      <c r="D109" s="34"/>
      <c r="E109" s="34"/>
      <c r="F109" s="34"/>
      <c r="G109" s="37"/>
      <c r="H109" s="34"/>
      <c r="I109" s="34"/>
      <c r="J109" s="34"/>
      <c r="K109" s="34"/>
      <c r="L109" s="34"/>
      <c r="M109" s="34"/>
      <c r="N109" s="34"/>
      <c r="O109" s="34"/>
      <c r="P109" s="34"/>
      <c r="Q109" s="34"/>
    </row>
    <row r="110" spans="1:17">
      <c r="A110" s="34"/>
      <c r="B110" s="34"/>
      <c r="C110" s="34"/>
      <c r="D110" s="34"/>
      <c r="E110" s="34"/>
      <c r="F110" s="34"/>
      <c r="G110" s="37"/>
      <c r="H110" s="34"/>
      <c r="I110" s="34"/>
      <c r="J110" s="34"/>
      <c r="K110" s="34"/>
      <c r="L110" s="34"/>
      <c r="M110" s="34"/>
      <c r="N110" s="34"/>
      <c r="O110" s="34"/>
      <c r="P110" s="34"/>
      <c r="Q110" s="34"/>
    </row>
    <row r="111" spans="1:17">
      <c r="A111" s="34"/>
      <c r="B111" s="34"/>
      <c r="C111" s="34"/>
      <c r="D111" s="34"/>
      <c r="E111" s="34"/>
      <c r="F111" s="34"/>
      <c r="G111" s="37"/>
      <c r="H111" s="34"/>
      <c r="I111" s="34"/>
      <c r="J111" s="34"/>
      <c r="K111" s="34"/>
      <c r="L111" s="34"/>
      <c r="M111" s="34"/>
      <c r="N111" s="34"/>
      <c r="O111" s="34"/>
      <c r="P111" s="34"/>
      <c r="Q111" s="34"/>
    </row>
    <row r="112" spans="1:17">
      <c r="A112" s="35"/>
      <c r="B112" s="35"/>
      <c r="C112" s="35"/>
      <c r="D112" s="35"/>
      <c r="E112" s="35"/>
      <c r="F112" s="35"/>
      <c r="G112" s="38"/>
      <c r="H112" s="35"/>
      <c r="I112" s="35"/>
      <c r="J112" s="35"/>
      <c r="K112" s="35"/>
      <c r="L112" s="35"/>
      <c r="M112" s="35"/>
      <c r="N112" s="35"/>
      <c r="O112" s="35"/>
      <c r="P112" s="35"/>
      <c r="Q112" s="35"/>
    </row>
    <row r="113" spans="1:17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</row>
    <row r="114" spans="1:17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</row>
    <row r="115" spans="1:17">
      <c r="A115" s="34"/>
      <c r="B115" s="34"/>
      <c r="C115" s="34"/>
      <c r="D115" s="77" t="s">
        <v>6</v>
      </c>
      <c r="E115" s="77"/>
      <c r="F115" s="77"/>
      <c r="G115" s="77"/>
      <c r="H115" s="77"/>
      <c r="I115" s="77"/>
      <c r="J115" s="77"/>
      <c r="K115" s="34"/>
      <c r="L115" s="34"/>
      <c r="M115" s="34"/>
      <c r="N115" s="34"/>
      <c r="O115" s="34"/>
      <c r="P115" s="34"/>
      <c r="Q115" s="34"/>
    </row>
    <row r="116" spans="1:17">
      <c r="A116" s="34"/>
      <c r="B116" s="34"/>
      <c r="C116" s="34"/>
      <c r="D116" s="77"/>
      <c r="E116" s="77"/>
      <c r="F116" s="77"/>
      <c r="G116" s="77"/>
      <c r="H116" s="77"/>
      <c r="I116" s="77"/>
      <c r="J116" s="77"/>
      <c r="K116" s="34"/>
      <c r="L116" s="34"/>
      <c r="M116" s="34"/>
      <c r="N116" s="34"/>
      <c r="O116" s="34"/>
      <c r="P116" s="34"/>
      <c r="Q116" s="34"/>
    </row>
    <row r="117" spans="1: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</row>
    <row r="118" spans="1:17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</row>
    <row r="119" spans="1:17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</row>
    <row r="120" spans="1:17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</row>
    <row r="121" spans="1:17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</row>
    <row r="122" spans="1:17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</row>
    <row r="123" spans="1:17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</row>
    <row r="124" spans="1:17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</row>
    <row r="125" spans="1:17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</row>
    <row r="126" spans="1:17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</row>
    <row r="127" spans="1:1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</row>
    <row r="128" spans="1:17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</row>
    <row r="129" spans="1:17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</row>
    <row r="130" spans="1:17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</row>
    <row r="131" spans="1:17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</row>
    <row r="132" spans="1:17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</row>
    <row r="133" spans="1:17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</row>
  </sheetData>
  <mergeCells count="9">
    <mergeCell ref="B2:C4"/>
    <mergeCell ref="E2:K4"/>
    <mergeCell ref="M2:N4"/>
    <mergeCell ref="D7:J8"/>
    <mergeCell ref="D115:J116"/>
    <mergeCell ref="D43:J44"/>
    <mergeCell ref="D78:J79"/>
    <mergeCell ref="B96:F97"/>
    <mergeCell ref="J96:O97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31946-B261-47C4-A4A7-889306BDC726}">
  <dimension ref="A1:I197"/>
  <sheetViews>
    <sheetView workbookViewId="0">
      <selection activeCell="B7" sqref="B7"/>
    </sheetView>
  </sheetViews>
  <sheetFormatPr defaultColWidth="11.42578125" defaultRowHeight="15"/>
  <cols>
    <col min="1" max="1" width="18.7109375" bestFit="1" customWidth="1"/>
    <col min="2" max="2" width="20.7109375" bestFit="1" customWidth="1"/>
    <col min="5" max="5" width="25" bestFit="1" customWidth="1"/>
    <col min="6" max="6" width="20.7109375" bestFit="1" customWidth="1"/>
  </cols>
  <sheetData>
    <row r="1" spans="1:6" ht="47.25">
      <c r="A1" s="80" t="s">
        <v>1</v>
      </c>
      <c r="B1" s="80"/>
      <c r="C1" s="80"/>
      <c r="D1" s="80"/>
      <c r="E1" s="80"/>
      <c r="F1" s="80"/>
    </row>
    <row r="3" spans="1:6">
      <c r="A3" s="79" t="s">
        <v>7</v>
      </c>
      <c r="B3" s="79"/>
      <c r="E3" s="79" t="s">
        <v>8</v>
      </c>
      <c r="F3" s="79"/>
    </row>
    <row r="5" spans="1:6">
      <c r="A5" s="27" t="s">
        <v>9</v>
      </c>
      <c r="B5" t="s">
        <v>10</v>
      </c>
      <c r="E5" s="27" t="s">
        <v>9</v>
      </c>
      <c r="F5" t="s">
        <v>11</v>
      </c>
    </row>
    <row r="7" spans="1:6">
      <c r="A7" s="27" t="s">
        <v>12</v>
      </c>
      <c r="B7" t="s">
        <v>13</v>
      </c>
      <c r="E7" s="27" t="s">
        <v>12</v>
      </c>
      <c r="F7" t="s">
        <v>13</v>
      </c>
    </row>
    <row r="8" spans="1:6">
      <c r="A8" s="28" t="s">
        <v>14</v>
      </c>
      <c r="B8">
        <v>128</v>
      </c>
      <c r="E8" s="28" t="s">
        <v>14</v>
      </c>
      <c r="F8">
        <v>10</v>
      </c>
    </row>
    <row r="9" spans="1:6">
      <c r="A9" s="28" t="s">
        <v>15</v>
      </c>
      <c r="B9">
        <v>1</v>
      </c>
      <c r="E9" s="28" t="s">
        <v>15</v>
      </c>
      <c r="F9">
        <v>5</v>
      </c>
    </row>
    <row r="10" spans="1:6">
      <c r="A10" s="28" t="s">
        <v>16</v>
      </c>
      <c r="B10">
        <v>129</v>
      </c>
      <c r="E10" s="28" t="s">
        <v>16</v>
      </c>
      <c r="F10">
        <v>15</v>
      </c>
    </row>
    <row r="11" spans="1:6">
      <c r="E11" s="28"/>
    </row>
    <row r="13" spans="1:6">
      <c r="A13" s="79" t="s">
        <v>17</v>
      </c>
      <c r="B13" s="79"/>
      <c r="E13" s="79" t="s">
        <v>18</v>
      </c>
      <c r="F13" s="79"/>
    </row>
    <row r="14" spans="1:6">
      <c r="E14" s="27" t="s">
        <v>9</v>
      </c>
      <c r="F14" t="s">
        <v>10</v>
      </c>
    </row>
    <row r="15" spans="1:6">
      <c r="A15" s="27" t="s">
        <v>9</v>
      </c>
      <c r="B15" t="s">
        <v>10</v>
      </c>
      <c r="E15" s="27" t="s">
        <v>19</v>
      </c>
      <c r="F15" t="s">
        <v>20</v>
      </c>
    </row>
    <row r="17" spans="1:6">
      <c r="A17" s="27" t="s">
        <v>12</v>
      </c>
      <c r="B17" t="s">
        <v>13</v>
      </c>
      <c r="E17" s="27" t="s">
        <v>12</v>
      </c>
      <c r="F17" t="s">
        <v>13</v>
      </c>
    </row>
    <row r="18" spans="1:6">
      <c r="A18" s="28" t="s">
        <v>21</v>
      </c>
      <c r="B18">
        <v>4</v>
      </c>
      <c r="E18" s="28" t="s">
        <v>21</v>
      </c>
      <c r="F18">
        <v>1</v>
      </c>
    </row>
    <row r="19" spans="1:6">
      <c r="A19" s="28" t="s">
        <v>22</v>
      </c>
      <c r="B19">
        <v>11</v>
      </c>
      <c r="E19" s="28" t="s">
        <v>22</v>
      </c>
      <c r="F19">
        <v>2</v>
      </c>
    </row>
    <row r="20" spans="1:6">
      <c r="A20" s="28" t="s">
        <v>23</v>
      </c>
      <c r="B20">
        <v>2</v>
      </c>
      <c r="E20" s="28" t="s">
        <v>23</v>
      </c>
      <c r="F20">
        <v>1</v>
      </c>
    </row>
    <row r="21" spans="1:6">
      <c r="A21" s="28" t="s">
        <v>24</v>
      </c>
      <c r="B21">
        <v>9</v>
      </c>
      <c r="E21" s="28" t="s">
        <v>25</v>
      </c>
      <c r="F21">
        <v>1</v>
      </c>
    </row>
    <row r="22" spans="1:6">
      <c r="A22" s="28" t="s">
        <v>26</v>
      </c>
      <c r="B22">
        <v>1</v>
      </c>
      <c r="E22" s="28" t="s">
        <v>27</v>
      </c>
      <c r="F22">
        <v>1</v>
      </c>
    </row>
    <row r="23" spans="1:6">
      <c r="A23" s="28" t="s">
        <v>25</v>
      </c>
      <c r="B23">
        <v>11</v>
      </c>
      <c r="E23" s="28" t="s">
        <v>28</v>
      </c>
      <c r="F23">
        <v>1</v>
      </c>
    </row>
    <row r="24" spans="1:6">
      <c r="A24" s="28" t="s">
        <v>29</v>
      </c>
      <c r="B24">
        <v>8</v>
      </c>
      <c r="E24" s="28" t="s">
        <v>16</v>
      </c>
      <c r="F24">
        <v>7</v>
      </c>
    </row>
    <row r="25" spans="1:6">
      <c r="A25" s="28" t="s">
        <v>27</v>
      </c>
      <c r="B25">
        <v>52</v>
      </c>
    </row>
    <row r="26" spans="1:6">
      <c r="A26" s="28" t="s">
        <v>30</v>
      </c>
      <c r="B26">
        <v>4</v>
      </c>
    </row>
    <row r="27" spans="1:6">
      <c r="A27" s="28" t="s">
        <v>31</v>
      </c>
      <c r="B27">
        <v>1</v>
      </c>
    </row>
    <row r="28" spans="1:6">
      <c r="A28" s="28" t="s">
        <v>28</v>
      </c>
      <c r="B28">
        <v>5</v>
      </c>
      <c r="E28" s="31" t="s">
        <v>32</v>
      </c>
      <c r="F28" s="31"/>
    </row>
    <row r="29" spans="1:6">
      <c r="A29" s="28" t="s">
        <v>33</v>
      </c>
      <c r="B29">
        <v>1</v>
      </c>
      <c r="E29" s="27" t="s">
        <v>9</v>
      </c>
      <c r="F29" t="s">
        <v>10</v>
      </c>
    </row>
    <row r="30" spans="1:6">
      <c r="A30" s="28" t="s">
        <v>34</v>
      </c>
      <c r="B30">
        <v>1</v>
      </c>
      <c r="E30" s="27" t="s">
        <v>19</v>
      </c>
      <c r="F30" t="s">
        <v>10</v>
      </c>
    </row>
    <row r="31" spans="1:6">
      <c r="A31" s="28" t="s">
        <v>35</v>
      </c>
      <c r="B31">
        <v>1</v>
      </c>
    </row>
    <row r="32" spans="1:6">
      <c r="A32" s="28" t="s">
        <v>36</v>
      </c>
      <c r="B32">
        <v>2</v>
      </c>
      <c r="E32" s="27" t="s">
        <v>12</v>
      </c>
      <c r="F32" t="s">
        <v>13</v>
      </c>
    </row>
    <row r="33" spans="1:6">
      <c r="A33" s="28" t="s">
        <v>37</v>
      </c>
      <c r="B33">
        <v>4</v>
      </c>
      <c r="E33" s="28" t="s">
        <v>21</v>
      </c>
      <c r="F33">
        <v>2</v>
      </c>
    </row>
    <row r="34" spans="1:6">
      <c r="A34" s="28" t="s">
        <v>38</v>
      </c>
      <c r="B34">
        <v>1</v>
      </c>
      <c r="E34" s="28" t="s">
        <v>22</v>
      </c>
      <c r="F34">
        <v>3</v>
      </c>
    </row>
    <row r="35" spans="1:6">
      <c r="A35" s="28" t="s">
        <v>39</v>
      </c>
      <c r="B35">
        <v>3</v>
      </c>
      <c r="E35" s="28" t="s">
        <v>23</v>
      </c>
      <c r="F35">
        <v>1</v>
      </c>
    </row>
    <row r="36" spans="1:6">
      <c r="A36" s="28" t="s">
        <v>40</v>
      </c>
      <c r="B36">
        <v>3</v>
      </c>
      <c r="E36" s="28" t="s">
        <v>24</v>
      </c>
      <c r="F36">
        <v>4</v>
      </c>
    </row>
    <row r="37" spans="1:6">
      <c r="A37" s="28" t="s">
        <v>41</v>
      </c>
      <c r="B37">
        <v>2</v>
      </c>
      <c r="E37" s="28" t="s">
        <v>25</v>
      </c>
      <c r="F37">
        <v>2</v>
      </c>
    </row>
    <row r="38" spans="1:6">
      <c r="A38" s="28" t="s">
        <v>42</v>
      </c>
      <c r="B38">
        <v>3</v>
      </c>
      <c r="E38" s="28" t="s">
        <v>29</v>
      </c>
      <c r="F38">
        <v>4</v>
      </c>
    </row>
    <row r="39" spans="1:6">
      <c r="A39" s="28" t="s">
        <v>16</v>
      </c>
      <c r="B39">
        <v>129</v>
      </c>
      <c r="E39" s="28" t="s">
        <v>27</v>
      </c>
      <c r="F39">
        <v>30</v>
      </c>
    </row>
    <row r="40" spans="1:6">
      <c r="E40" s="28" t="s">
        <v>30</v>
      </c>
      <c r="F40">
        <v>2</v>
      </c>
    </row>
    <row r="41" spans="1:6">
      <c r="E41" s="28" t="s">
        <v>31</v>
      </c>
      <c r="F41">
        <v>1</v>
      </c>
    </row>
    <row r="42" spans="1:6">
      <c r="E42" s="28" t="s">
        <v>28</v>
      </c>
      <c r="F42">
        <v>3</v>
      </c>
    </row>
    <row r="43" spans="1:6">
      <c r="A43" s="79" t="s">
        <v>43</v>
      </c>
      <c r="B43" s="79"/>
      <c r="E43" s="28" t="s">
        <v>33</v>
      </c>
      <c r="F43">
        <v>1</v>
      </c>
    </row>
    <row r="44" spans="1:6">
      <c r="E44" s="28" t="s">
        <v>34</v>
      </c>
      <c r="F44">
        <v>1</v>
      </c>
    </row>
    <row r="45" spans="1:6">
      <c r="A45" s="27" t="s">
        <v>12</v>
      </c>
      <c r="B45" t="s">
        <v>13</v>
      </c>
      <c r="E45" s="28" t="s">
        <v>35</v>
      </c>
      <c r="F45">
        <v>1</v>
      </c>
    </row>
    <row r="46" spans="1:6">
      <c r="A46" s="28" t="s">
        <v>44</v>
      </c>
      <c r="B46">
        <v>9</v>
      </c>
      <c r="E46" s="28" t="s">
        <v>36</v>
      </c>
      <c r="F46">
        <v>1</v>
      </c>
    </row>
    <row r="47" spans="1:6">
      <c r="A47" s="28" t="s">
        <v>45</v>
      </c>
      <c r="B47">
        <v>3</v>
      </c>
      <c r="E47" s="28" t="s">
        <v>37</v>
      </c>
      <c r="F47">
        <v>2</v>
      </c>
    </row>
    <row r="48" spans="1:6">
      <c r="A48" s="28" t="s">
        <v>46</v>
      </c>
      <c r="B48">
        <v>1</v>
      </c>
      <c r="E48" s="28" t="s">
        <v>38</v>
      </c>
      <c r="F48">
        <v>1</v>
      </c>
    </row>
    <row r="49" spans="1:9">
      <c r="A49" s="28" t="s">
        <v>47</v>
      </c>
      <c r="B49">
        <v>13</v>
      </c>
      <c r="E49" s="28" t="s">
        <v>40</v>
      </c>
      <c r="F49">
        <v>2</v>
      </c>
    </row>
    <row r="50" spans="1:9">
      <c r="A50" s="28" t="s">
        <v>16</v>
      </c>
      <c r="B50">
        <v>26</v>
      </c>
      <c r="E50" s="28" t="s">
        <v>42</v>
      </c>
      <c r="F50">
        <v>2</v>
      </c>
    </row>
    <row r="51" spans="1:9">
      <c r="E51" s="28" t="s">
        <v>16</v>
      </c>
      <c r="F51">
        <v>63</v>
      </c>
    </row>
    <row r="58" spans="1:9">
      <c r="A58" s="30"/>
      <c r="B58" s="30"/>
      <c r="C58" s="30"/>
      <c r="D58" s="30"/>
      <c r="E58" s="30"/>
      <c r="F58" s="30"/>
      <c r="G58" s="30"/>
      <c r="H58" s="30"/>
      <c r="I58" s="30"/>
    </row>
    <row r="60" spans="1:9" ht="47.25">
      <c r="A60" s="80" t="s">
        <v>2</v>
      </c>
      <c r="B60" s="80"/>
      <c r="C60" s="80"/>
      <c r="D60" s="80"/>
      <c r="E60" s="80"/>
      <c r="F60" s="80"/>
    </row>
    <row r="61" spans="1:9" ht="14.25" customHeight="1">
      <c r="A61" s="33"/>
      <c r="B61" s="33"/>
      <c r="C61" s="33"/>
      <c r="D61" s="33"/>
      <c r="E61" s="33"/>
      <c r="F61" s="33"/>
    </row>
    <row r="62" spans="1:9">
      <c r="A62" s="79" t="s">
        <v>7</v>
      </c>
      <c r="B62" s="79"/>
      <c r="E62" s="79" t="s">
        <v>8</v>
      </c>
      <c r="F62" s="79"/>
    </row>
    <row r="64" spans="1:9">
      <c r="A64" s="27" t="s">
        <v>48</v>
      </c>
      <c r="B64" t="s">
        <v>10</v>
      </c>
      <c r="E64" s="27" t="s">
        <v>48</v>
      </c>
      <c r="F64" t="s">
        <v>11</v>
      </c>
    </row>
    <row r="66" spans="1:6">
      <c r="A66" s="27" t="s">
        <v>12</v>
      </c>
      <c r="B66" t="s">
        <v>49</v>
      </c>
      <c r="E66" s="27" t="s">
        <v>12</v>
      </c>
      <c r="F66" t="s">
        <v>49</v>
      </c>
    </row>
    <row r="67" spans="1:6">
      <c r="A67" s="28" t="s">
        <v>50</v>
      </c>
      <c r="B67">
        <v>12</v>
      </c>
      <c r="E67" s="28" t="s">
        <v>50</v>
      </c>
      <c r="F67">
        <v>1</v>
      </c>
    </row>
    <row r="68" spans="1:6">
      <c r="A68" s="28" t="s">
        <v>51</v>
      </c>
      <c r="B68">
        <v>140</v>
      </c>
      <c r="E68" s="28" t="s">
        <v>51</v>
      </c>
      <c r="F68">
        <v>17</v>
      </c>
    </row>
    <row r="69" spans="1:6">
      <c r="A69" s="28" t="s">
        <v>16</v>
      </c>
      <c r="B69">
        <v>152</v>
      </c>
      <c r="E69" s="28" t="s">
        <v>16</v>
      </c>
      <c r="F69">
        <v>18</v>
      </c>
    </row>
    <row r="72" spans="1:6">
      <c r="A72" s="79" t="s">
        <v>17</v>
      </c>
      <c r="B72" s="79"/>
      <c r="E72" s="79" t="s">
        <v>18</v>
      </c>
      <c r="F72" s="79"/>
    </row>
    <row r="73" spans="1:6">
      <c r="E73" s="27" t="s">
        <v>48</v>
      </c>
      <c r="F73" t="s">
        <v>10</v>
      </c>
    </row>
    <row r="74" spans="1:6">
      <c r="A74" s="27" t="s">
        <v>48</v>
      </c>
      <c r="B74" t="s">
        <v>10</v>
      </c>
      <c r="E74" s="27" t="s">
        <v>19</v>
      </c>
      <c r="F74" t="s">
        <v>10</v>
      </c>
    </row>
    <row r="76" spans="1:6">
      <c r="A76" s="27" t="s">
        <v>12</v>
      </c>
      <c r="B76" t="s">
        <v>49</v>
      </c>
      <c r="E76" s="27" t="s">
        <v>12</v>
      </c>
      <c r="F76" t="s">
        <v>49</v>
      </c>
    </row>
    <row r="77" spans="1:6">
      <c r="A77" s="28" t="s">
        <v>21</v>
      </c>
      <c r="B77">
        <v>2</v>
      </c>
      <c r="E77" s="28" t="s">
        <v>21</v>
      </c>
      <c r="F77">
        <v>1</v>
      </c>
    </row>
    <row r="78" spans="1:6">
      <c r="A78" s="28" t="s">
        <v>22</v>
      </c>
      <c r="B78">
        <v>11</v>
      </c>
      <c r="E78" s="28" t="s">
        <v>22</v>
      </c>
      <c r="F78">
        <v>2</v>
      </c>
    </row>
    <row r="79" spans="1:6">
      <c r="A79" s="28" t="s">
        <v>23</v>
      </c>
      <c r="B79">
        <v>2</v>
      </c>
      <c r="E79" s="28" t="s">
        <v>24</v>
      </c>
      <c r="F79">
        <v>5</v>
      </c>
    </row>
    <row r="80" spans="1:6">
      <c r="A80" s="28" t="s">
        <v>24</v>
      </c>
      <c r="B80">
        <v>17</v>
      </c>
      <c r="E80" s="28" t="s">
        <v>25</v>
      </c>
      <c r="F80">
        <v>8</v>
      </c>
    </row>
    <row r="81" spans="1:6">
      <c r="A81" s="28" t="s">
        <v>25</v>
      </c>
      <c r="B81">
        <v>22</v>
      </c>
      <c r="E81" s="28" t="s">
        <v>29</v>
      </c>
      <c r="F81">
        <v>1</v>
      </c>
    </row>
    <row r="82" spans="1:6">
      <c r="A82" s="28" t="s">
        <v>29</v>
      </c>
      <c r="B82">
        <v>7</v>
      </c>
      <c r="E82" s="28" t="s">
        <v>27</v>
      </c>
      <c r="F82">
        <v>9</v>
      </c>
    </row>
    <row r="83" spans="1:6">
      <c r="A83" s="28" t="s">
        <v>27</v>
      </c>
      <c r="B83">
        <v>58</v>
      </c>
      <c r="E83" s="28" t="s">
        <v>30</v>
      </c>
      <c r="F83">
        <v>2</v>
      </c>
    </row>
    <row r="84" spans="1:6">
      <c r="A84" s="28" t="s">
        <v>30</v>
      </c>
      <c r="B84">
        <v>5</v>
      </c>
      <c r="E84" s="28" t="s">
        <v>28</v>
      </c>
      <c r="F84">
        <v>3</v>
      </c>
    </row>
    <row r="85" spans="1:6">
      <c r="A85" s="28" t="s">
        <v>28</v>
      </c>
      <c r="B85">
        <v>4</v>
      </c>
      <c r="E85" s="28" t="s">
        <v>36</v>
      </c>
      <c r="F85">
        <v>1</v>
      </c>
    </row>
    <row r="86" spans="1:6">
      <c r="A86" s="28" t="s">
        <v>52</v>
      </c>
      <c r="B86">
        <v>1</v>
      </c>
      <c r="E86" s="28" t="s">
        <v>37</v>
      </c>
      <c r="F86">
        <v>1</v>
      </c>
    </row>
    <row r="87" spans="1:6">
      <c r="A87" s="28" t="s">
        <v>33</v>
      </c>
      <c r="B87">
        <v>1</v>
      </c>
      <c r="E87" s="28" t="s">
        <v>39</v>
      </c>
      <c r="F87">
        <v>2</v>
      </c>
    </row>
    <row r="88" spans="1:6">
      <c r="A88" s="28" t="s">
        <v>34</v>
      </c>
      <c r="B88">
        <v>1</v>
      </c>
      <c r="E88" s="28" t="s">
        <v>42</v>
      </c>
      <c r="F88">
        <v>1</v>
      </c>
    </row>
    <row r="89" spans="1:6">
      <c r="A89" s="28" t="s">
        <v>36</v>
      </c>
      <c r="B89">
        <v>2</v>
      </c>
      <c r="E89" s="28" t="s">
        <v>16</v>
      </c>
      <c r="F89">
        <v>36</v>
      </c>
    </row>
    <row r="90" spans="1:6">
      <c r="A90" s="28" t="s">
        <v>37</v>
      </c>
      <c r="B90">
        <v>3</v>
      </c>
    </row>
    <row r="91" spans="1:6">
      <c r="A91" s="28" t="s">
        <v>39</v>
      </c>
      <c r="B91">
        <v>5</v>
      </c>
    </row>
    <row r="92" spans="1:6">
      <c r="A92" s="28" t="s">
        <v>40</v>
      </c>
      <c r="B92">
        <v>3</v>
      </c>
    </row>
    <row r="93" spans="1:6">
      <c r="A93" s="28" t="s">
        <v>41</v>
      </c>
      <c r="B93">
        <v>2</v>
      </c>
    </row>
    <row r="94" spans="1:6">
      <c r="A94" s="28" t="s">
        <v>42</v>
      </c>
      <c r="B94">
        <v>6</v>
      </c>
    </row>
    <row r="95" spans="1:6">
      <c r="A95" s="28" t="s">
        <v>16</v>
      </c>
      <c r="B95">
        <v>152</v>
      </c>
      <c r="E95" s="79" t="s">
        <v>32</v>
      </c>
      <c r="F95" s="79"/>
    </row>
    <row r="97" spans="1:6">
      <c r="E97" s="27" t="s">
        <v>48</v>
      </c>
      <c r="F97" t="s">
        <v>10</v>
      </c>
    </row>
    <row r="98" spans="1:6">
      <c r="E98" s="27" t="s">
        <v>19</v>
      </c>
      <c r="F98" t="s">
        <v>10</v>
      </c>
    </row>
    <row r="100" spans="1:6">
      <c r="E100" s="27" t="s">
        <v>12</v>
      </c>
      <c r="F100" t="s">
        <v>49</v>
      </c>
    </row>
    <row r="101" spans="1:6">
      <c r="A101" s="79" t="s">
        <v>43</v>
      </c>
      <c r="B101" s="79"/>
      <c r="E101" s="28" t="s">
        <v>21</v>
      </c>
      <c r="F101">
        <v>1</v>
      </c>
    </row>
    <row r="102" spans="1:6">
      <c r="E102" s="28" t="s">
        <v>22</v>
      </c>
      <c r="F102">
        <v>4</v>
      </c>
    </row>
    <row r="103" spans="1:6">
      <c r="A103" s="27" t="s">
        <v>12</v>
      </c>
      <c r="B103" t="s">
        <v>13</v>
      </c>
      <c r="E103" s="28" t="s">
        <v>23</v>
      </c>
      <c r="F103">
        <v>2</v>
      </c>
    </row>
    <row r="104" spans="1:6">
      <c r="A104" s="28" t="s">
        <v>53</v>
      </c>
      <c r="B104">
        <v>34</v>
      </c>
      <c r="E104" s="28" t="s">
        <v>24</v>
      </c>
      <c r="F104">
        <v>8</v>
      </c>
    </row>
    <row r="105" spans="1:6">
      <c r="A105" s="28" t="s">
        <v>47</v>
      </c>
      <c r="B105">
        <v>4</v>
      </c>
      <c r="E105" s="28" t="s">
        <v>25</v>
      </c>
      <c r="F105">
        <v>3</v>
      </c>
    </row>
    <row r="106" spans="1:6">
      <c r="A106" s="28" t="s">
        <v>16</v>
      </c>
      <c r="B106">
        <v>38</v>
      </c>
      <c r="E106" s="28" t="s">
        <v>29</v>
      </c>
      <c r="F106">
        <v>6</v>
      </c>
    </row>
    <row r="107" spans="1:6">
      <c r="E107" s="28" t="s">
        <v>27</v>
      </c>
      <c r="F107">
        <v>23</v>
      </c>
    </row>
    <row r="108" spans="1:6">
      <c r="E108" s="28" t="s">
        <v>30</v>
      </c>
      <c r="F108">
        <v>3</v>
      </c>
    </row>
    <row r="109" spans="1:6">
      <c r="E109" s="28" t="s">
        <v>28</v>
      </c>
      <c r="F109">
        <v>1</v>
      </c>
    </row>
    <row r="110" spans="1:6">
      <c r="E110" s="28" t="s">
        <v>52</v>
      </c>
      <c r="F110">
        <v>1</v>
      </c>
    </row>
    <row r="111" spans="1:6">
      <c r="E111" s="28" t="s">
        <v>33</v>
      </c>
      <c r="F111">
        <v>1</v>
      </c>
    </row>
    <row r="112" spans="1:6">
      <c r="E112" s="28" t="s">
        <v>34</v>
      </c>
      <c r="F112">
        <v>1</v>
      </c>
    </row>
    <row r="113" spans="1:6">
      <c r="E113" s="28" t="s">
        <v>37</v>
      </c>
      <c r="F113">
        <v>2</v>
      </c>
    </row>
    <row r="114" spans="1:6">
      <c r="E114" s="28" t="s">
        <v>39</v>
      </c>
      <c r="F114">
        <v>3</v>
      </c>
    </row>
    <row r="115" spans="1:6">
      <c r="E115" s="28" t="s">
        <v>40</v>
      </c>
      <c r="F115">
        <v>2</v>
      </c>
    </row>
    <row r="116" spans="1:6">
      <c r="E116" s="28" t="s">
        <v>41</v>
      </c>
      <c r="F116">
        <v>1</v>
      </c>
    </row>
    <row r="117" spans="1:6">
      <c r="E117" s="28" t="s">
        <v>42</v>
      </c>
      <c r="F117">
        <v>2</v>
      </c>
    </row>
    <row r="118" spans="1:6">
      <c r="E118" s="28" t="s">
        <v>16</v>
      </c>
      <c r="F118">
        <v>64</v>
      </c>
    </row>
    <row r="122" spans="1:6">
      <c r="A122" s="30"/>
      <c r="B122" s="30"/>
      <c r="C122" s="30"/>
      <c r="D122" s="30"/>
      <c r="E122" s="30"/>
      <c r="F122" s="30"/>
    </row>
    <row r="124" spans="1:6" ht="47.25">
      <c r="A124" s="80" t="s">
        <v>3</v>
      </c>
      <c r="B124" s="80"/>
      <c r="C124" s="80"/>
      <c r="D124" s="80"/>
      <c r="E124" s="80"/>
      <c r="F124" s="80"/>
    </row>
    <row r="126" spans="1:6">
      <c r="A126" s="79" t="s">
        <v>54</v>
      </c>
      <c r="B126" s="79"/>
      <c r="E126" s="79" t="s">
        <v>55</v>
      </c>
      <c r="F126" s="79"/>
    </row>
    <row r="128" spans="1:6">
      <c r="A128" s="27" t="s">
        <v>12</v>
      </c>
      <c r="B128" t="s">
        <v>13</v>
      </c>
      <c r="E128" s="27" t="s">
        <v>12</v>
      </c>
      <c r="F128" t="s">
        <v>13</v>
      </c>
    </row>
    <row r="129" spans="1:6">
      <c r="A129" s="28" t="s">
        <v>56</v>
      </c>
      <c r="B129">
        <v>3</v>
      </c>
      <c r="E129" s="28" t="s">
        <v>25</v>
      </c>
      <c r="F129">
        <v>19</v>
      </c>
    </row>
    <row r="130" spans="1:6">
      <c r="A130" s="28" t="s">
        <v>57</v>
      </c>
      <c r="B130">
        <v>23</v>
      </c>
      <c r="E130" s="28" t="s">
        <v>58</v>
      </c>
      <c r="F130">
        <v>5</v>
      </c>
    </row>
    <row r="131" spans="1:6">
      <c r="A131" s="28" t="s">
        <v>16</v>
      </c>
      <c r="B131">
        <v>26</v>
      </c>
      <c r="E131" s="28" t="s">
        <v>59</v>
      </c>
      <c r="F131">
        <v>1</v>
      </c>
    </row>
    <row r="132" spans="1:6">
      <c r="E132" s="28" t="s">
        <v>60</v>
      </c>
      <c r="F132">
        <v>1</v>
      </c>
    </row>
    <row r="133" spans="1:6">
      <c r="E133" s="28" t="s">
        <v>16</v>
      </c>
      <c r="F133">
        <v>26</v>
      </c>
    </row>
    <row r="135" spans="1:6">
      <c r="A135" s="79" t="s">
        <v>61</v>
      </c>
      <c r="B135" s="79"/>
    </row>
    <row r="137" spans="1:6">
      <c r="A137" s="27" t="s">
        <v>12</v>
      </c>
      <c r="B137" t="s">
        <v>13</v>
      </c>
    </row>
    <row r="138" spans="1:6">
      <c r="A138" s="28" t="s">
        <v>62</v>
      </c>
      <c r="B138">
        <v>3</v>
      </c>
    </row>
    <row r="139" spans="1:6">
      <c r="A139" s="28" t="s">
        <v>63</v>
      </c>
      <c r="B139">
        <v>5</v>
      </c>
    </row>
    <row r="140" spans="1:6">
      <c r="A140" s="28" t="s">
        <v>64</v>
      </c>
      <c r="B140">
        <v>3</v>
      </c>
    </row>
    <row r="141" spans="1:6">
      <c r="A141" s="28" t="s">
        <v>65</v>
      </c>
      <c r="B141">
        <v>3</v>
      </c>
    </row>
    <row r="142" spans="1:6">
      <c r="A142" s="28" t="s">
        <v>66</v>
      </c>
      <c r="B142">
        <v>12</v>
      </c>
    </row>
    <row r="143" spans="1:6">
      <c r="A143" s="28" t="s">
        <v>16</v>
      </c>
      <c r="B143">
        <v>26</v>
      </c>
    </row>
    <row r="146" spans="1:6">
      <c r="A146" s="30"/>
      <c r="B146" s="30"/>
      <c r="C146" s="30"/>
      <c r="D146" s="30"/>
      <c r="E146" s="30"/>
      <c r="F146" s="30"/>
    </row>
    <row r="148" spans="1:6" ht="47.25">
      <c r="A148" s="80" t="s">
        <v>4</v>
      </c>
      <c r="B148" s="80"/>
      <c r="C148" s="80"/>
      <c r="D148" s="80"/>
      <c r="E148" s="80"/>
      <c r="F148" s="80"/>
    </row>
    <row r="150" spans="1:6">
      <c r="A150" s="79" t="s">
        <v>67</v>
      </c>
      <c r="B150" s="79"/>
      <c r="E150" s="79" t="s">
        <v>68</v>
      </c>
      <c r="F150" s="79"/>
    </row>
    <row r="152" spans="1:6">
      <c r="A152" s="27" t="s">
        <v>12</v>
      </c>
      <c r="B152" t="s">
        <v>49</v>
      </c>
      <c r="E152" s="27" t="s">
        <v>12</v>
      </c>
      <c r="F152" t="s">
        <v>49</v>
      </c>
    </row>
    <row r="153" spans="1:6">
      <c r="A153" s="28" t="s">
        <v>69</v>
      </c>
      <c r="B153">
        <v>31</v>
      </c>
      <c r="E153" s="28" t="s">
        <v>23</v>
      </c>
      <c r="F153">
        <v>1</v>
      </c>
    </row>
    <row r="154" spans="1:6">
      <c r="A154" s="28" t="s">
        <v>16</v>
      </c>
      <c r="B154">
        <v>31</v>
      </c>
      <c r="E154" s="28" t="s">
        <v>24</v>
      </c>
      <c r="F154">
        <v>8</v>
      </c>
    </row>
    <row r="155" spans="1:6">
      <c r="E155" s="28" t="s">
        <v>25</v>
      </c>
      <c r="F155">
        <v>1</v>
      </c>
    </row>
    <row r="156" spans="1:6">
      <c r="E156" s="28" t="s">
        <v>29</v>
      </c>
      <c r="F156">
        <v>1</v>
      </c>
    </row>
    <row r="157" spans="1:6">
      <c r="E157" s="28" t="s">
        <v>27</v>
      </c>
      <c r="F157">
        <v>1</v>
      </c>
    </row>
    <row r="158" spans="1:6">
      <c r="E158" s="28" t="s">
        <v>30</v>
      </c>
      <c r="F158">
        <v>3</v>
      </c>
    </row>
    <row r="159" spans="1:6">
      <c r="E159" s="28" t="s">
        <v>31</v>
      </c>
      <c r="F159">
        <v>1</v>
      </c>
    </row>
    <row r="160" spans="1:6">
      <c r="E160" s="28" t="s">
        <v>28</v>
      </c>
      <c r="F160">
        <v>1</v>
      </c>
    </row>
    <row r="161" spans="1:6">
      <c r="E161" s="28" t="s">
        <v>52</v>
      </c>
      <c r="F161">
        <v>1</v>
      </c>
    </row>
    <row r="162" spans="1:6">
      <c r="E162" s="28" t="s">
        <v>33</v>
      </c>
      <c r="F162">
        <v>1</v>
      </c>
    </row>
    <row r="163" spans="1:6">
      <c r="E163" s="28" t="s">
        <v>34</v>
      </c>
      <c r="F163">
        <v>1</v>
      </c>
    </row>
    <row r="164" spans="1:6">
      <c r="E164" s="28" t="s">
        <v>35</v>
      </c>
      <c r="F164">
        <v>1</v>
      </c>
    </row>
    <row r="165" spans="1:6">
      <c r="E165" s="28" t="s">
        <v>39</v>
      </c>
      <c r="F165">
        <v>4</v>
      </c>
    </row>
    <row r="166" spans="1:6">
      <c r="E166" s="28" t="s">
        <v>70</v>
      </c>
      <c r="F166">
        <v>2</v>
      </c>
    </row>
    <row r="167" spans="1:6">
      <c r="E167" s="28" t="s">
        <v>42</v>
      </c>
      <c r="F167">
        <v>4</v>
      </c>
    </row>
    <row r="168" spans="1:6">
      <c r="E168" s="28" t="s">
        <v>16</v>
      </c>
      <c r="F168">
        <v>31</v>
      </c>
    </row>
    <row r="172" spans="1:6">
      <c r="A172" s="30"/>
      <c r="B172" s="30"/>
      <c r="C172" s="30"/>
      <c r="D172" s="30"/>
      <c r="E172" s="30"/>
      <c r="F172" s="30"/>
    </row>
    <row r="174" spans="1:6" ht="47.25">
      <c r="A174" s="80" t="s">
        <v>5</v>
      </c>
      <c r="B174" s="80"/>
      <c r="C174" s="80"/>
      <c r="D174" s="80"/>
      <c r="E174" s="80"/>
      <c r="F174" s="80"/>
    </row>
    <row r="176" spans="1:6">
      <c r="A176" s="79" t="s">
        <v>54</v>
      </c>
      <c r="B176" s="79"/>
      <c r="E176" s="79" t="s">
        <v>17</v>
      </c>
      <c r="F176" s="79"/>
    </row>
    <row r="178" spans="1:6">
      <c r="A178" s="27" t="s">
        <v>12</v>
      </c>
      <c r="B178" t="s">
        <v>13</v>
      </c>
      <c r="E178" s="27" t="s">
        <v>12</v>
      </c>
      <c r="F178" t="s">
        <v>13</v>
      </c>
    </row>
    <row r="179" spans="1:6">
      <c r="A179" s="28" t="s">
        <v>71</v>
      </c>
      <c r="B179">
        <v>18</v>
      </c>
      <c r="E179" s="28" t="s">
        <v>71</v>
      </c>
      <c r="F179">
        <v>18</v>
      </c>
    </row>
    <row r="180" spans="1:6">
      <c r="A180" s="28" t="s">
        <v>72</v>
      </c>
      <c r="B180">
        <v>2</v>
      </c>
      <c r="E180" s="29" t="s">
        <v>22</v>
      </c>
      <c r="F180">
        <v>9</v>
      </c>
    </row>
    <row r="181" spans="1:6">
      <c r="A181" s="28" t="s">
        <v>16</v>
      </c>
      <c r="B181">
        <v>20</v>
      </c>
      <c r="E181" s="29" t="s">
        <v>27</v>
      </c>
      <c r="F181">
        <v>9</v>
      </c>
    </row>
    <row r="182" spans="1:6">
      <c r="E182" s="28" t="s">
        <v>72</v>
      </c>
      <c r="F182">
        <v>2</v>
      </c>
    </row>
    <row r="183" spans="1:6">
      <c r="E183" s="29" t="s">
        <v>27</v>
      </c>
      <c r="F183">
        <v>2</v>
      </c>
    </row>
    <row r="184" spans="1:6">
      <c r="E184" s="28" t="s">
        <v>16</v>
      </c>
      <c r="F184">
        <v>20</v>
      </c>
    </row>
    <row r="187" spans="1:6">
      <c r="A187" s="30"/>
      <c r="B187" s="30"/>
      <c r="C187" s="30"/>
      <c r="D187" s="30"/>
      <c r="E187" s="30"/>
      <c r="F187" s="30"/>
    </row>
    <row r="189" spans="1:6" ht="47.25">
      <c r="A189" s="80" t="s">
        <v>6</v>
      </c>
      <c r="B189" s="80"/>
      <c r="C189" s="80"/>
      <c r="D189" s="80"/>
      <c r="E189" s="80"/>
      <c r="F189" s="80"/>
    </row>
    <row r="191" spans="1:6">
      <c r="A191" s="79" t="s">
        <v>73</v>
      </c>
      <c r="B191" s="79"/>
      <c r="E191" s="79" t="s">
        <v>74</v>
      </c>
      <c r="F191" s="79"/>
    </row>
    <row r="193" spans="1:6">
      <c r="A193" s="27" t="s">
        <v>12</v>
      </c>
      <c r="B193" t="s">
        <v>75</v>
      </c>
      <c r="E193" s="27" t="s">
        <v>12</v>
      </c>
      <c r="F193" t="s">
        <v>76</v>
      </c>
    </row>
    <row r="194" spans="1:6">
      <c r="A194" s="28" t="s">
        <v>53</v>
      </c>
      <c r="B194">
        <v>1</v>
      </c>
      <c r="E194" s="28" t="s">
        <v>77</v>
      </c>
      <c r="F194">
        <v>20</v>
      </c>
    </row>
    <row r="195" spans="1:6">
      <c r="A195" s="28" t="s">
        <v>78</v>
      </c>
      <c r="B195">
        <v>25</v>
      </c>
      <c r="E195" s="28" t="s">
        <v>79</v>
      </c>
      <c r="F195">
        <v>48</v>
      </c>
    </row>
    <row r="196" spans="1:6">
      <c r="A196" s="28" t="s">
        <v>80</v>
      </c>
      <c r="B196">
        <v>58</v>
      </c>
      <c r="E196" s="28" t="s">
        <v>81</v>
      </c>
      <c r="F196">
        <v>16</v>
      </c>
    </row>
    <row r="197" spans="1:6">
      <c r="A197" s="28" t="s">
        <v>16</v>
      </c>
      <c r="B197">
        <v>84</v>
      </c>
      <c r="E197" s="28" t="s">
        <v>16</v>
      </c>
      <c r="F197">
        <v>84</v>
      </c>
    </row>
  </sheetData>
  <mergeCells count="26">
    <mergeCell ref="A126:B126"/>
    <mergeCell ref="E126:F126"/>
    <mergeCell ref="A189:F189"/>
    <mergeCell ref="A191:B191"/>
    <mergeCell ref="A148:F148"/>
    <mergeCell ref="A150:B150"/>
    <mergeCell ref="E150:F150"/>
    <mergeCell ref="A174:F174"/>
    <mergeCell ref="A176:B176"/>
    <mergeCell ref="E176:F176"/>
    <mergeCell ref="A135:B135"/>
    <mergeCell ref="E191:F191"/>
    <mergeCell ref="E95:F95"/>
    <mergeCell ref="A101:B101"/>
    <mergeCell ref="A124:F124"/>
    <mergeCell ref="A1:F1"/>
    <mergeCell ref="A60:F60"/>
    <mergeCell ref="A62:B62"/>
    <mergeCell ref="E62:F62"/>
    <mergeCell ref="A72:B72"/>
    <mergeCell ref="E72:F72"/>
    <mergeCell ref="A43:B43"/>
    <mergeCell ref="A3:B3"/>
    <mergeCell ref="A13:B13"/>
    <mergeCell ref="E3:F3"/>
    <mergeCell ref="E13:F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64A0-9819-4D31-8F02-9B87CEB45D8B}">
  <dimension ref="A1:N152"/>
  <sheetViews>
    <sheetView topLeftCell="A40" zoomScale="115" zoomScaleNormal="115" workbookViewId="0">
      <selection activeCell="J59" sqref="J59"/>
    </sheetView>
  </sheetViews>
  <sheetFormatPr defaultColWidth="11.42578125" defaultRowHeight="15"/>
  <cols>
    <col min="1" max="1" width="6.5703125" style="46" customWidth="1"/>
    <col min="2" max="2" width="10.7109375" customWidth="1"/>
    <col min="3" max="3" width="25.140625" customWidth="1"/>
    <col min="4" max="4" width="49" customWidth="1"/>
    <col min="5" max="5" width="48.28515625" customWidth="1"/>
    <col min="6" max="6" width="13" customWidth="1"/>
    <col min="7" max="7" width="29" customWidth="1"/>
    <col min="8" max="8" width="19.42578125" bestFit="1" customWidth="1"/>
    <col min="9" max="9" width="16.7109375" customWidth="1"/>
    <col min="10" max="10" width="26.140625" customWidth="1"/>
    <col min="11" max="11" width="30.7109375" customWidth="1"/>
    <col min="12" max="12" width="21.85546875" customWidth="1"/>
    <col min="13" max="13" width="37.5703125" bestFit="1" customWidth="1"/>
    <col min="14" max="14" width="41.5703125" bestFit="1" customWidth="1"/>
    <col min="15" max="15" width="41.42578125" bestFit="1" customWidth="1"/>
  </cols>
  <sheetData>
    <row r="1" spans="1:14" ht="18" customHeight="1">
      <c r="A1" s="44" t="s">
        <v>82</v>
      </c>
      <c r="B1" s="2" t="s">
        <v>83</v>
      </c>
      <c r="C1" s="2" t="s">
        <v>9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  <c r="M1" s="2" t="s">
        <v>93</v>
      </c>
      <c r="N1" s="2" t="s">
        <v>94</v>
      </c>
    </row>
    <row r="2" spans="1:14">
      <c r="A2" s="45">
        <v>1</v>
      </c>
      <c r="B2" s="2">
        <v>72545669</v>
      </c>
      <c r="C2" s="2" t="s">
        <v>95</v>
      </c>
      <c r="D2" s="2" t="s">
        <v>96</v>
      </c>
      <c r="E2" s="2" t="s">
        <v>97</v>
      </c>
      <c r="F2" s="2" t="s">
        <v>98</v>
      </c>
      <c r="G2" s="2" t="s">
        <v>24</v>
      </c>
      <c r="H2" s="2" t="s">
        <v>99</v>
      </c>
      <c r="I2" s="2" t="s">
        <v>100</v>
      </c>
      <c r="J2" s="32" t="s">
        <v>101</v>
      </c>
      <c r="K2" s="32" t="s">
        <v>102</v>
      </c>
      <c r="L2" s="2" t="s">
        <v>103</v>
      </c>
      <c r="M2" s="2" t="str">
        <f>PROPER(Tabla15[[#This Row],[NOMBRES Y APELLIDOS]])</f>
        <v>Alejandra Daniela Quezada Noriega</v>
      </c>
      <c r="N2" s="2" t="str">
        <f>PROPER(Tabla15[[#This Row],[CARGO]])</f>
        <v>Ejecutivo De Ventas De Call Center</v>
      </c>
    </row>
    <row r="3" spans="1:14">
      <c r="A3" s="45">
        <v>2</v>
      </c>
      <c r="B3" s="2">
        <v>44259648</v>
      </c>
      <c r="C3" s="2" t="s">
        <v>104</v>
      </c>
      <c r="D3" s="2" t="s">
        <v>105</v>
      </c>
      <c r="E3" s="2" t="s">
        <v>106</v>
      </c>
      <c r="F3" s="2" t="s">
        <v>107</v>
      </c>
      <c r="G3" s="2" t="s">
        <v>25</v>
      </c>
      <c r="H3" s="2" t="s">
        <v>108</v>
      </c>
      <c r="I3" s="2" t="s">
        <v>108</v>
      </c>
      <c r="J3" s="43" t="s">
        <v>109</v>
      </c>
      <c r="K3" s="32" t="s">
        <v>110</v>
      </c>
      <c r="L3" s="2" t="s">
        <v>103</v>
      </c>
      <c r="M3" s="2" t="str">
        <f>PROPER(Tabla15[[#This Row],[NOMBRES Y APELLIDOS]])</f>
        <v>Alexis Renzo Challco Veliz</v>
      </c>
      <c r="N3" s="2" t="str">
        <f>PROPER(Tabla15[[#This Row],[CARGO]])</f>
        <v>Encargado Operativo</v>
      </c>
    </row>
    <row r="4" spans="1:14">
      <c r="A4" s="45">
        <v>3</v>
      </c>
      <c r="B4" s="2">
        <v>71538287</v>
      </c>
      <c r="C4" s="2" t="s">
        <v>111</v>
      </c>
      <c r="D4" s="2" t="s">
        <v>112</v>
      </c>
      <c r="E4" s="2" t="s">
        <v>113</v>
      </c>
      <c r="F4" s="2" t="s">
        <v>107</v>
      </c>
      <c r="G4" s="2" t="s">
        <v>28</v>
      </c>
      <c r="H4" s="2" t="s">
        <v>108</v>
      </c>
      <c r="I4" s="2" t="s">
        <v>108</v>
      </c>
      <c r="J4" s="32" t="s">
        <v>114</v>
      </c>
      <c r="K4" s="32" t="s">
        <v>115</v>
      </c>
      <c r="L4" s="2" t="s">
        <v>116</v>
      </c>
      <c r="M4" s="2" t="str">
        <f>PROPER(Tabla15[[#This Row],[NOMBRES Y APELLIDOS]])</f>
        <v>Alicia Franchesca Lluen Burga</v>
      </c>
      <c r="N4" s="2" t="str">
        <f>PROPER(Tabla15[[#This Row],[CARGO]])</f>
        <v>Subcontadora</v>
      </c>
    </row>
    <row r="5" spans="1:14">
      <c r="A5" s="45">
        <v>4</v>
      </c>
      <c r="B5" s="2">
        <v>71693544</v>
      </c>
      <c r="C5" s="2" t="s">
        <v>117</v>
      </c>
      <c r="D5" s="2" t="s">
        <v>118</v>
      </c>
      <c r="E5" s="2" t="s">
        <v>119</v>
      </c>
      <c r="F5" s="2" t="s">
        <v>107</v>
      </c>
      <c r="G5" s="2" t="s">
        <v>28</v>
      </c>
      <c r="H5" s="2" t="s">
        <v>108</v>
      </c>
      <c r="I5" s="2" t="s">
        <v>108</v>
      </c>
      <c r="J5" s="32" t="s">
        <v>120</v>
      </c>
      <c r="K5" s="32" t="s">
        <v>121</v>
      </c>
      <c r="L5" s="2" t="s">
        <v>122</v>
      </c>
      <c r="M5" s="2" t="str">
        <f>PROPER(Tabla15[[#This Row],[NOMBRES Y APELLIDOS]])</f>
        <v>Alissa Yasmine Cubas Toro</v>
      </c>
      <c r="N5" s="2" t="str">
        <f>PROPER(Tabla15[[#This Row],[CARGO]])</f>
        <v>Asistente De Contabilidad</v>
      </c>
    </row>
    <row r="6" spans="1:14">
      <c r="A6" s="45">
        <v>5</v>
      </c>
      <c r="B6" s="2">
        <v>73359611</v>
      </c>
      <c r="C6" s="2" t="s">
        <v>123</v>
      </c>
      <c r="D6" s="2" t="s">
        <v>124</v>
      </c>
      <c r="E6" s="2" t="s">
        <v>125</v>
      </c>
      <c r="F6" s="2" t="s">
        <v>107</v>
      </c>
      <c r="G6" s="2" t="s">
        <v>27</v>
      </c>
      <c r="H6" s="2" t="s">
        <v>126</v>
      </c>
      <c r="I6" s="2" t="s">
        <v>100</v>
      </c>
      <c r="J6" s="32" t="s">
        <v>127</v>
      </c>
      <c r="K6" s="32" t="s">
        <v>128</v>
      </c>
      <c r="L6" s="2" t="s">
        <v>116</v>
      </c>
      <c r="M6" s="2" t="str">
        <f>PROPER(Tabla15[[#This Row],[NOMBRES Y APELLIDOS]])</f>
        <v>Ana Marixa Malca Machuca</v>
      </c>
      <c r="N6" s="2" t="str">
        <f>PROPER(Tabla15[[#This Row],[CARGO]])</f>
        <v>Generador De Negocios</v>
      </c>
    </row>
    <row r="7" spans="1:14">
      <c r="A7" s="45">
        <v>6</v>
      </c>
      <c r="B7" s="2">
        <v>70903842</v>
      </c>
      <c r="C7" s="2" t="s">
        <v>129</v>
      </c>
      <c r="D7" s="2" t="s">
        <v>130</v>
      </c>
      <c r="E7" s="2" t="s">
        <v>131</v>
      </c>
      <c r="F7" s="2" t="s">
        <v>107</v>
      </c>
      <c r="G7" s="2" t="s">
        <v>38</v>
      </c>
      <c r="H7" s="2" t="s">
        <v>108</v>
      </c>
      <c r="I7" s="2" t="s">
        <v>108</v>
      </c>
      <c r="J7" s="32" t="s">
        <v>132</v>
      </c>
      <c r="K7" s="32" t="s">
        <v>133</v>
      </c>
      <c r="L7" s="2" t="s">
        <v>134</v>
      </c>
      <c r="M7" s="2" t="str">
        <f>PROPER(Tabla15[[#This Row],[NOMBRES Y APELLIDOS]])</f>
        <v>Anais Selene Alburqueque Armas</v>
      </c>
      <c r="N7" s="2" t="str">
        <f>PROPER(Tabla15[[#This Row],[CARGO]])</f>
        <v>Jefe De Pricing</v>
      </c>
    </row>
    <row r="8" spans="1:14">
      <c r="A8" s="45">
        <v>7</v>
      </c>
      <c r="B8" s="2">
        <v>72671164</v>
      </c>
      <c r="C8" s="2" t="s">
        <v>135</v>
      </c>
      <c r="D8" s="2" t="s">
        <v>136</v>
      </c>
      <c r="E8" s="2" t="s">
        <v>137</v>
      </c>
      <c r="F8" s="2" t="s">
        <v>107</v>
      </c>
      <c r="G8" s="2" t="s">
        <v>25</v>
      </c>
      <c r="H8" s="2" t="s">
        <v>108</v>
      </c>
      <c r="I8" s="2" t="s">
        <v>108</v>
      </c>
      <c r="J8" s="32" t="s">
        <v>138</v>
      </c>
      <c r="K8" s="32" t="s">
        <v>108</v>
      </c>
      <c r="L8" s="2" t="s">
        <v>108</v>
      </c>
      <c r="M8" s="2" t="str">
        <f>PROPER(Tabla15[[#This Row],[NOMBRES Y APELLIDOS]])</f>
        <v>Andrea Milagros Ruiz Maravi</v>
      </c>
      <c r="N8" s="2" t="str">
        <f>PROPER(Tabla15[[#This Row],[CARGO]])</f>
        <v>Operador De Sistemas De Picking</v>
      </c>
    </row>
    <row r="9" spans="1:14">
      <c r="A9" s="45">
        <v>8</v>
      </c>
      <c r="B9" s="2">
        <v>45440529</v>
      </c>
      <c r="C9" s="2" t="s">
        <v>139</v>
      </c>
      <c r="D9" s="2" t="s">
        <v>140</v>
      </c>
      <c r="E9" s="2" t="s">
        <v>141</v>
      </c>
      <c r="F9" s="2" t="s">
        <v>107</v>
      </c>
      <c r="G9" s="2" t="s">
        <v>142</v>
      </c>
      <c r="H9" s="2" t="s">
        <v>108</v>
      </c>
      <c r="I9" s="2" t="s">
        <v>108</v>
      </c>
      <c r="J9" s="32" t="s">
        <v>143</v>
      </c>
      <c r="K9" s="32" t="s">
        <v>108</v>
      </c>
      <c r="L9" s="2" t="s">
        <v>108</v>
      </c>
      <c r="M9" s="2" t="str">
        <f>PROPER(Tabla15[[#This Row],[NOMBRES Y APELLIDOS]])</f>
        <v>Andrea Denis Yataco Saldaña</v>
      </c>
      <c r="N9" s="2" t="str">
        <f>PROPER(Tabla15[[#This Row],[CARGO]])</f>
        <v>Analista De Creditos Y Cobranzas</v>
      </c>
    </row>
    <row r="10" spans="1:14">
      <c r="A10" s="45">
        <v>9</v>
      </c>
      <c r="B10" s="2">
        <v>29327078</v>
      </c>
      <c r="C10" s="2" t="s">
        <v>144</v>
      </c>
      <c r="D10" s="2" t="s">
        <v>145</v>
      </c>
      <c r="E10" s="2" t="s">
        <v>146</v>
      </c>
      <c r="F10" s="2" t="s">
        <v>107</v>
      </c>
      <c r="G10" s="2" t="s">
        <v>52</v>
      </c>
      <c r="H10" s="2" t="s">
        <v>108</v>
      </c>
      <c r="I10" s="2" t="s">
        <v>108</v>
      </c>
      <c r="J10" s="32" t="s">
        <v>147</v>
      </c>
      <c r="K10" s="32" t="s">
        <v>148</v>
      </c>
      <c r="L10" s="2" t="s">
        <v>116</v>
      </c>
      <c r="M10" s="2" t="str">
        <f>PROPER(Tabla15[[#This Row],[NOMBRES Y APELLIDOS]])</f>
        <v>Andres Fernando Arispe Oviedo</v>
      </c>
      <c r="N10" s="2" t="str">
        <f>PROPER(Tabla15[[#This Row],[CARGO]])</f>
        <v>Gerente De Administración Y Finanzas</v>
      </c>
    </row>
    <row r="11" spans="1:14">
      <c r="A11" s="45">
        <v>10</v>
      </c>
      <c r="B11" s="2">
        <v>2082142</v>
      </c>
      <c r="C11" s="2" t="s">
        <v>149</v>
      </c>
      <c r="D11" s="2" t="s">
        <v>150</v>
      </c>
      <c r="E11" s="2" t="s">
        <v>151</v>
      </c>
      <c r="F11" s="2" t="s">
        <v>98</v>
      </c>
      <c r="G11" s="2" t="s">
        <v>22</v>
      </c>
      <c r="H11" s="2" t="s">
        <v>152</v>
      </c>
      <c r="I11" s="2" t="s">
        <v>22</v>
      </c>
      <c r="J11" s="32" t="s">
        <v>153</v>
      </c>
      <c r="K11" s="32" t="s">
        <v>154</v>
      </c>
      <c r="L11" s="2" t="s">
        <v>103</v>
      </c>
      <c r="M11" s="2" t="str">
        <f>PROPER(Tabla15[[#This Row],[NOMBRES Y APELLIDOS]])</f>
        <v>Andres Celestino Cachima Ramirez</v>
      </c>
      <c r="N11" s="2" t="str">
        <f>PROPER(Tabla15[[#This Row],[CARGO]])</f>
        <v>Ejecutivo B2B</v>
      </c>
    </row>
    <row r="12" spans="1:14">
      <c r="A12" s="45">
        <v>11</v>
      </c>
      <c r="B12" s="2">
        <v>42096677</v>
      </c>
      <c r="C12" s="2" t="s">
        <v>155</v>
      </c>
      <c r="D12" s="2" t="s">
        <v>156</v>
      </c>
      <c r="E12" s="2" t="s">
        <v>157</v>
      </c>
      <c r="F12" s="2" t="s">
        <v>107</v>
      </c>
      <c r="G12" s="2" t="s">
        <v>40</v>
      </c>
      <c r="H12" s="2" t="s">
        <v>108</v>
      </c>
      <c r="I12" s="2" t="s">
        <v>108</v>
      </c>
      <c r="J12" s="32" t="s">
        <v>158</v>
      </c>
      <c r="K12" s="32" t="s">
        <v>159</v>
      </c>
      <c r="L12" s="2" t="s">
        <v>116</v>
      </c>
      <c r="M12" s="2" t="str">
        <f>PROPER(Tabla15[[#This Row],[NOMBRES Y APELLIDOS]])</f>
        <v>Angela Sotero Tantalean</v>
      </c>
      <c r="N12" s="2" t="str">
        <f>PROPER(Tabla15[[#This Row],[CARGO]])</f>
        <v>Sub Gerente Corporativo De Personas</v>
      </c>
    </row>
    <row r="13" spans="1:14">
      <c r="A13" s="45">
        <v>12</v>
      </c>
      <c r="B13" s="25" t="s">
        <v>160</v>
      </c>
      <c r="C13" s="2" t="s">
        <v>161</v>
      </c>
      <c r="D13" s="2" t="s">
        <v>162</v>
      </c>
      <c r="E13" s="2" t="s">
        <v>26</v>
      </c>
      <c r="F13" s="2" t="s">
        <v>107</v>
      </c>
      <c r="G13" s="2" t="s">
        <v>39</v>
      </c>
      <c r="H13" s="2" t="s">
        <v>108</v>
      </c>
      <c r="I13" s="2" t="s">
        <v>108</v>
      </c>
      <c r="J13" s="32" t="s">
        <v>163</v>
      </c>
      <c r="K13" s="32" t="s">
        <v>164</v>
      </c>
      <c r="L13" s="2" t="s">
        <v>108</v>
      </c>
      <c r="M13" s="2" t="str">
        <f>PROPER(Tabla15[[#This Row],[NOMBRES Y APELLIDOS]])</f>
        <v>Anselmo Felix Soria Gonzales</v>
      </c>
      <c r="N13" s="2" t="str">
        <f>PROPER(Tabla15[[#This Row],[CARGO]])</f>
        <v>Catalogo Manager</v>
      </c>
    </row>
    <row r="14" spans="1:14">
      <c r="A14" s="45">
        <v>13</v>
      </c>
      <c r="B14" s="2">
        <v>75331770</v>
      </c>
      <c r="C14" s="2" t="s">
        <v>165</v>
      </c>
      <c r="D14" s="2" t="s">
        <v>166</v>
      </c>
      <c r="E14" s="2" t="s">
        <v>167</v>
      </c>
      <c r="F14" s="2" t="s">
        <v>107</v>
      </c>
      <c r="G14" s="2" t="s">
        <v>25</v>
      </c>
      <c r="H14" s="2" t="s">
        <v>108</v>
      </c>
      <c r="I14" s="2" t="s">
        <v>108</v>
      </c>
      <c r="J14" s="32" t="s">
        <v>168</v>
      </c>
      <c r="K14" s="32" t="s">
        <v>169</v>
      </c>
      <c r="L14" s="2" t="s">
        <v>122</v>
      </c>
      <c r="M14" s="2" t="str">
        <f>PROPER(Tabla15[[#This Row],[NOMBRES Y APELLIDOS]])</f>
        <v>Anthony Acevedo Medina</v>
      </c>
      <c r="N14" s="2" t="str">
        <f>PROPER(Tabla15[[#This Row],[CARGO]])</f>
        <v>Operario De Almacen (Escaneo De Documentos)</v>
      </c>
    </row>
    <row r="15" spans="1:14">
      <c r="A15" s="45">
        <v>14</v>
      </c>
      <c r="B15" s="2">
        <v>72754112</v>
      </c>
      <c r="C15" s="2" t="s">
        <v>170</v>
      </c>
      <c r="D15" s="2" t="s">
        <v>171</v>
      </c>
      <c r="E15" s="2" t="s">
        <v>172</v>
      </c>
      <c r="F15" s="2" t="s">
        <v>107</v>
      </c>
      <c r="G15" s="2" t="s">
        <v>42</v>
      </c>
      <c r="H15" s="2" t="s">
        <v>108</v>
      </c>
      <c r="I15" s="2" t="s">
        <v>108</v>
      </c>
      <c r="J15" s="32" t="s">
        <v>173</v>
      </c>
      <c r="K15" s="32" t="s">
        <v>174</v>
      </c>
      <c r="L15" s="2" t="s">
        <v>122</v>
      </c>
      <c r="M15" s="2" t="str">
        <f>PROPER(Tabla15[[#This Row],[NOMBRES Y APELLIDOS]])</f>
        <v>Johanna Antonella Vargas Flores</v>
      </c>
      <c r="N15" s="2" t="str">
        <f>PROPER(Tabla15[[#This Row],[CARGO]])</f>
        <v>Asistente De Ti</v>
      </c>
    </row>
    <row r="16" spans="1:14">
      <c r="A16" s="45">
        <v>15</v>
      </c>
      <c r="B16" s="2">
        <v>42492220</v>
      </c>
      <c r="C16" s="2" t="s">
        <v>175</v>
      </c>
      <c r="D16" s="2" t="s">
        <v>176</v>
      </c>
      <c r="E16" s="2" t="s">
        <v>125</v>
      </c>
      <c r="F16" s="2" t="s">
        <v>107</v>
      </c>
      <c r="G16" s="2" t="s">
        <v>27</v>
      </c>
      <c r="H16" s="2" t="s">
        <v>177</v>
      </c>
      <c r="I16" s="2" t="s">
        <v>100</v>
      </c>
      <c r="J16" s="32" t="s">
        <v>178</v>
      </c>
      <c r="K16" s="32" t="s">
        <v>179</v>
      </c>
      <c r="L16" s="2" t="s">
        <v>116</v>
      </c>
      <c r="M16" s="2" t="str">
        <f>PROPER(Tabla15[[#This Row],[NOMBRES Y APELLIDOS]])</f>
        <v>Carlos Emilio Aguirre Nuñez</v>
      </c>
      <c r="N16" s="2" t="str">
        <f>PROPER(Tabla15[[#This Row],[CARGO]])</f>
        <v>Generador De Negocios</v>
      </c>
    </row>
    <row r="17" spans="1:14">
      <c r="A17" s="45">
        <v>16</v>
      </c>
      <c r="B17" s="2">
        <v>45988391</v>
      </c>
      <c r="C17" s="2" t="s">
        <v>177</v>
      </c>
      <c r="D17" s="2" t="s">
        <v>180</v>
      </c>
      <c r="E17" s="2" t="s">
        <v>181</v>
      </c>
      <c r="F17" s="2" t="s">
        <v>107</v>
      </c>
      <c r="G17" s="2" t="s">
        <v>27</v>
      </c>
      <c r="H17" s="2" t="s">
        <v>182</v>
      </c>
      <c r="I17" s="2" t="s">
        <v>100</v>
      </c>
      <c r="J17" s="32" t="s">
        <v>183</v>
      </c>
      <c r="K17" s="32" t="s">
        <v>184</v>
      </c>
      <c r="L17" s="2" t="s">
        <v>103</v>
      </c>
      <c r="M17" s="2" t="str">
        <f>PROPER(Tabla15[[#This Row],[NOMBRES Y APELLIDOS]])</f>
        <v>Carlos Xavier Barrantes Rodriguez</v>
      </c>
      <c r="N17" s="2" t="str">
        <f>PROPER(Tabla15[[#This Row],[CARGO]])</f>
        <v>Supervisor De Ventas</v>
      </c>
    </row>
    <row r="18" spans="1:14">
      <c r="A18" s="45">
        <v>17</v>
      </c>
      <c r="B18" s="2">
        <v>17434279</v>
      </c>
      <c r="C18" s="2" t="s">
        <v>185</v>
      </c>
      <c r="D18" s="2" t="s">
        <v>186</v>
      </c>
      <c r="E18" s="2" t="s">
        <v>181</v>
      </c>
      <c r="F18" s="2" t="s">
        <v>107</v>
      </c>
      <c r="G18" s="2" t="s">
        <v>27</v>
      </c>
      <c r="H18" s="2" t="s">
        <v>182</v>
      </c>
      <c r="I18" s="2" t="s">
        <v>100</v>
      </c>
      <c r="J18" s="32" t="s">
        <v>187</v>
      </c>
      <c r="K18" s="32" t="s">
        <v>188</v>
      </c>
      <c r="L18" s="2" t="s">
        <v>116</v>
      </c>
      <c r="M18" s="2" t="str">
        <f>PROPER(Tabla15[[#This Row],[NOMBRES Y APELLIDOS]])</f>
        <v>Carlos Enrique Sandoval Guillermo</v>
      </c>
      <c r="N18" s="2" t="str">
        <f>PROPER(Tabla15[[#This Row],[CARGO]])</f>
        <v>Supervisor De Ventas</v>
      </c>
    </row>
    <row r="19" spans="1:14">
      <c r="A19" s="45">
        <v>18</v>
      </c>
      <c r="B19" s="2">
        <v>10140159</v>
      </c>
      <c r="C19" s="2" t="s">
        <v>189</v>
      </c>
      <c r="D19" s="2" t="s">
        <v>190</v>
      </c>
      <c r="E19" s="2" t="s">
        <v>151</v>
      </c>
      <c r="F19" s="2" t="s">
        <v>107</v>
      </c>
      <c r="G19" s="2" t="s">
        <v>22</v>
      </c>
      <c r="H19" s="2" t="s">
        <v>152</v>
      </c>
      <c r="I19" s="2" t="s">
        <v>22</v>
      </c>
      <c r="J19" s="32" t="s">
        <v>191</v>
      </c>
      <c r="K19" s="32" t="s">
        <v>192</v>
      </c>
      <c r="L19" s="2" t="s">
        <v>116</v>
      </c>
      <c r="M19" s="2" t="str">
        <f>PROPER(Tabla15[[#This Row],[NOMBRES Y APELLIDOS]])</f>
        <v>Carolina Cinthia Philipps Bueno</v>
      </c>
      <c r="N19" s="2" t="str">
        <f>PROPER(Tabla15[[#This Row],[CARGO]])</f>
        <v>Ejecutivo B2B</v>
      </c>
    </row>
    <row r="20" spans="1:14">
      <c r="A20" s="45">
        <v>19</v>
      </c>
      <c r="B20" s="2">
        <v>44766867</v>
      </c>
      <c r="C20" s="2" t="s">
        <v>193</v>
      </c>
      <c r="D20" s="2" t="s">
        <v>194</v>
      </c>
      <c r="E20" s="2" t="s">
        <v>195</v>
      </c>
      <c r="F20" s="2" t="s">
        <v>107</v>
      </c>
      <c r="G20" s="2" t="s">
        <v>25</v>
      </c>
      <c r="H20" s="2" t="s">
        <v>108</v>
      </c>
      <c r="I20" s="2" t="s">
        <v>108</v>
      </c>
      <c r="J20" s="32" t="s">
        <v>108</v>
      </c>
      <c r="K20" s="43" t="s">
        <v>196</v>
      </c>
      <c r="L20" s="2" t="s">
        <v>122</v>
      </c>
      <c r="M20" s="2" t="str">
        <f>PROPER(Tabla15[[#This Row],[NOMBRES Y APELLIDOS]])</f>
        <v>Juan Christian Bardales Lopez</v>
      </c>
      <c r="N20" s="2" t="str">
        <f>PROPER(Tabla15[[#This Row],[CARGO]])</f>
        <v>Operario De Revision Tecnica</v>
      </c>
    </row>
    <row r="21" spans="1:14">
      <c r="A21" s="45">
        <v>20</v>
      </c>
      <c r="B21" s="2">
        <v>10735376</v>
      </c>
      <c r="C21" s="2" t="s">
        <v>197</v>
      </c>
      <c r="D21" s="2" t="s">
        <v>198</v>
      </c>
      <c r="E21" s="2" t="s">
        <v>199</v>
      </c>
      <c r="F21" s="2" t="s">
        <v>107</v>
      </c>
      <c r="G21" s="2" t="s">
        <v>42</v>
      </c>
      <c r="H21" s="2" t="s">
        <v>108</v>
      </c>
      <c r="I21" s="2" t="s">
        <v>108</v>
      </c>
      <c r="J21" s="32" t="s">
        <v>200</v>
      </c>
      <c r="K21" s="32" t="s">
        <v>108</v>
      </c>
      <c r="L21" s="2" t="s">
        <v>108</v>
      </c>
      <c r="M21" s="2" t="str">
        <f>PROPER(Tabla15[[#This Row],[NOMBRES Y APELLIDOS]])</f>
        <v>Christian Segundo Ramirez Ramos</v>
      </c>
      <c r="N21" s="2" t="str">
        <f>PROPER(Tabla15[[#This Row],[CARGO]])</f>
        <v>Sub Gerente De Ti</v>
      </c>
    </row>
    <row r="22" spans="1:14">
      <c r="A22" s="45">
        <v>21</v>
      </c>
      <c r="B22" s="2">
        <v>70501486</v>
      </c>
      <c r="C22" s="2" t="s">
        <v>201</v>
      </c>
      <c r="D22" s="2" t="s">
        <v>202</v>
      </c>
      <c r="E22" s="2" t="s">
        <v>203</v>
      </c>
      <c r="F22" s="2" t="s">
        <v>107</v>
      </c>
      <c r="G22" s="2" t="s">
        <v>40</v>
      </c>
      <c r="H22" s="2" t="s">
        <v>108</v>
      </c>
      <c r="I22" s="2" t="s">
        <v>108</v>
      </c>
      <c r="J22" s="32" t="s">
        <v>204</v>
      </c>
      <c r="K22" s="32" t="s">
        <v>205</v>
      </c>
      <c r="L22" s="2" t="s">
        <v>116</v>
      </c>
      <c r="M22" s="2" t="str">
        <f>PROPER(Tabla15[[#This Row],[NOMBRES Y APELLIDOS]])</f>
        <v>Claudia Alejandra Abregu Vasquez</v>
      </c>
      <c r="N22" s="2" t="str">
        <f>PROPER(Tabla15[[#This Row],[CARGO]])</f>
        <v>Analista De Talento Humano</v>
      </c>
    </row>
    <row r="23" spans="1:14">
      <c r="A23" s="45">
        <v>22</v>
      </c>
      <c r="B23" s="2">
        <v>70307921</v>
      </c>
      <c r="C23" s="2" t="s">
        <v>206</v>
      </c>
      <c r="D23" s="2" t="s">
        <v>207</v>
      </c>
      <c r="E23" s="2" t="s">
        <v>125</v>
      </c>
      <c r="F23" s="2" t="s">
        <v>107</v>
      </c>
      <c r="G23" s="2" t="s">
        <v>27</v>
      </c>
      <c r="H23" s="2" t="s">
        <v>177</v>
      </c>
      <c r="I23" s="2" t="s">
        <v>100</v>
      </c>
      <c r="J23" s="32" t="s">
        <v>208</v>
      </c>
      <c r="K23" s="32" t="s">
        <v>209</v>
      </c>
      <c r="L23" s="2" t="s">
        <v>116</v>
      </c>
      <c r="M23" s="2" t="str">
        <f>PROPER(Tabla15[[#This Row],[NOMBRES Y APELLIDOS]])</f>
        <v>Claudia Stefany Carrasco Ccasa</v>
      </c>
      <c r="N23" s="2" t="str">
        <f>PROPER(Tabla15[[#This Row],[CARGO]])</f>
        <v>Generador De Negocios</v>
      </c>
    </row>
    <row r="24" spans="1:14">
      <c r="A24" s="45">
        <v>23</v>
      </c>
      <c r="B24" s="2">
        <v>46854823</v>
      </c>
      <c r="C24" s="2" t="s">
        <v>210</v>
      </c>
      <c r="D24" s="2" t="s">
        <v>211</v>
      </c>
      <c r="E24" s="2" t="s">
        <v>212</v>
      </c>
      <c r="F24" s="2" t="s">
        <v>107</v>
      </c>
      <c r="G24" s="2" t="s">
        <v>23</v>
      </c>
      <c r="H24" s="2" t="s">
        <v>108</v>
      </c>
      <c r="I24" s="2" t="s">
        <v>100</v>
      </c>
      <c r="J24" s="32" t="s">
        <v>213</v>
      </c>
      <c r="K24" s="32" t="s">
        <v>214</v>
      </c>
      <c r="L24" s="2" t="s">
        <v>116</v>
      </c>
      <c r="M24" s="2" t="str">
        <f>PROPER(Tabla15[[#This Row],[NOMBRES Y APELLIDOS]])</f>
        <v>Cristhian Daniel Arevalo Garrido</v>
      </c>
      <c r="N24" s="2" t="str">
        <f>PROPER(Tabla15[[#This Row],[CARGO]])</f>
        <v>Jefe De Gestion Comercial</v>
      </c>
    </row>
    <row r="25" spans="1:14">
      <c r="A25" s="45">
        <v>24</v>
      </c>
      <c r="B25" s="2">
        <v>41803472</v>
      </c>
      <c r="C25" s="2" t="s">
        <v>215</v>
      </c>
      <c r="D25" s="2" t="s">
        <v>216</v>
      </c>
      <c r="E25" s="2" t="s">
        <v>125</v>
      </c>
      <c r="F25" s="2" t="s">
        <v>107</v>
      </c>
      <c r="G25" s="2" t="s">
        <v>27</v>
      </c>
      <c r="H25" s="2" t="s">
        <v>217</v>
      </c>
      <c r="I25" s="2" t="s">
        <v>218</v>
      </c>
      <c r="J25" s="32" t="s">
        <v>219</v>
      </c>
      <c r="K25" s="32" t="s">
        <v>220</v>
      </c>
      <c r="L25" s="2" t="s">
        <v>116</v>
      </c>
      <c r="M25" s="2" t="str">
        <f>PROPER(Tabla15[[#This Row],[NOMBRES Y APELLIDOS]])</f>
        <v>Cristian Eduardo Ruiz Ramirez</v>
      </c>
      <c r="N25" s="2" t="str">
        <f>PROPER(Tabla15[[#This Row],[CARGO]])</f>
        <v>Generador De Negocios</v>
      </c>
    </row>
    <row r="26" spans="1:14">
      <c r="A26" s="45">
        <v>25</v>
      </c>
      <c r="B26" s="2">
        <v>42850257</v>
      </c>
      <c r="C26" s="2" t="s">
        <v>221</v>
      </c>
      <c r="D26" s="2" t="s">
        <v>222</v>
      </c>
      <c r="E26" s="2" t="s">
        <v>141</v>
      </c>
      <c r="F26" s="2" t="s">
        <v>107</v>
      </c>
      <c r="G26" s="2" t="s">
        <v>142</v>
      </c>
      <c r="H26" s="2" t="s">
        <v>108</v>
      </c>
      <c r="I26" s="2" t="s">
        <v>108</v>
      </c>
      <c r="J26" s="32" t="s">
        <v>223</v>
      </c>
      <c r="K26" s="32" t="s">
        <v>108</v>
      </c>
      <c r="L26" s="2" t="s">
        <v>108</v>
      </c>
      <c r="M26" s="2" t="str">
        <f>PROPER(Tabla15[[#This Row],[NOMBRES Y APELLIDOS]])</f>
        <v>Cristina Elizabeth Diaz Ponce</v>
      </c>
      <c r="N26" s="2" t="str">
        <f>PROPER(Tabla15[[#This Row],[CARGO]])</f>
        <v>Analista De Creditos Y Cobranzas</v>
      </c>
    </row>
    <row r="27" spans="1:14">
      <c r="A27" s="45">
        <v>26</v>
      </c>
      <c r="B27" s="2">
        <v>71737418</v>
      </c>
      <c r="C27" s="2" t="s">
        <v>224</v>
      </c>
      <c r="D27" s="2" t="s">
        <v>225</v>
      </c>
      <c r="E27" s="2" t="s">
        <v>226</v>
      </c>
      <c r="F27" s="2" t="s">
        <v>107</v>
      </c>
      <c r="G27" s="2" t="s">
        <v>227</v>
      </c>
      <c r="H27" s="2" t="s">
        <v>108</v>
      </c>
      <c r="I27" s="2" t="s">
        <v>108</v>
      </c>
      <c r="J27" s="43" t="s">
        <v>228</v>
      </c>
      <c r="K27" s="43" t="s">
        <v>229</v>
      </c>
      <c r="L27" s="2" t="s">
        <v>122</v>
      </c>
      <c r="M27" s="2" t="str">
        <f>PROPER(Tabla15[[#This Row],[NOMBRES Y APELLIDOS]])</f>
        <v>Dallana Nicole Espinoza Calle</v>
      </c>
      <c r="N27" s="2" t="str">
        <f>PROPER(Tabla15[[#This Row],[CARGO]])</f>
        <v>Trabajadora Social</v>
      </c>
    </row>
    <row r="28" spans="1:14">
      <c r="A28" s="45">
        <v>27</v>
      </c>
      <c r="B28" s="2">
        <v>47695209</v>
      </c>
      <c r="C28" s="2" t="s">
        <v>230</v>
      </c>
      <c r="D28" s="2" t="s">
        <v>231</v>
      </c>
      <c r="E28" s="2" t="s">
        <v>125</v>
      </c>
      <c r="F28" s="2" t="s">
        <v>98</v>
      </c>
      <c r="G28" s="2" t="s">
        <v>27</v>
      </c>
      <c r="H28" s="2" t="s">
        <v>232</v>
      </c>
      <c r="I28" s="2" t="s">
        <v>100</v>
      </c>
      <c r="J28" s="32" t="s">
        <v>233</v>
      </c>
      <c r="K28" s="32" t="s">
        <v>234</v>
      </c>
      <c r="L28" s="2" t="s">
        <v>116</v>
      </c>
      <c r="M28" s="2" t="str">
        <f>PROPER(Tabla15[[#This Row],[NOMBRES Y APELLIDOS]])</f>
        <v>Danari Zulema De La Puente Torres</v>
      </c>
      <c r="N28" s="2" t="str">
        <f>PROPER(Tabla15[[#This Row],[CARGO]])</f>
        <v>Generador De Negocios</v>
      </c>
    </row>
    <row r="29" spans="1:14">
      <c r="A29" s="45">
        <v>28</v>
      </c>
      <c r="B29" s="2">
        <v>41295708</v>
      </c>
      <c r="C29" s="2" t="s">
        <v>235</v>
      </c>
      <c r="D29" s="2" t="s">
        <v>236</v>
      </c>
      <c r="E29" s="2" t="s">
        <v>125</v>
      </c>
      <c r="F29" s="2" t="s">
        <v>107</v>
      </c>
      <c r="G29" s="2" t="s">
        <v>27</v>
      </c>
      <c r="H29" s="2" t="s">
        <v>232</v>
      </c>
      <c r="I29" s="2" t="s">
        <v>100</v>
      </c>
      <c r="J29" s="32" t="s">
        <v>237</v>
      </c>
      <c r="K29" s="32" t="s">
        <v>238</v>
      </c>
      <c r="L29" s="2" t="s">
        <v>116</v>
      </c>
      <c r="M29" s="2" t="str">
        <f>PROPER(Tabla15[[#This Row],[NOMBRES Y APELLIDOS]])</f>
        <v>Daniel Rojas Pizango</v>
      </c>
      <c r="N29" s="2" t="str">
        <f>PROPER(Tabla15[[#This Row],[CARGO]])</f>
        <v>Generador De Negocios</v>
      </c>
    </row>
    <row r="30" spans="1:14">
      <c r="A30" s="45">
        <v>29</v>
      </c>
      <c r="B30" s="2">
        <v>41165325</v>
      </c>
      <c r="C30" s="2" t="s">
        <v>239</v>
      </c>
      <c r="D30" s="2" t="s">
        <v>240</v>
      </c>
      <c r="E30" s="2" t="s">
        <v>26</v>
      </c>
      <c r="F30" s="2" t="s">
        <v>107</v>
      </c>
      <c r="G30" s="2" t="s">
        <v>39</v>
      </c>
      <c r="H30" s="2" t="s">
        <v>108</v>
      </c>
      <c r="I30" s="2" t="s">
        <v>108</v>
      </c>
      <c r="J30" s="32" t="s">
        <v>241</v>
      </c>
      <c r="K30" s="32" t="s">
        <v>242</v>
      </c>
      <c r="L30" s="2" t="s">
        <v>116</v>
      </c>
      <c r="M30" s="2" t="str">
        <f>PROPER(Tabla15[[#This Row],[NOMBRES Y APELLIDOS]])</f>
        <v>Dannel Roberto Serquen Pastor</v>
      </c>
      <c r="N30" s="2" t="str">
        <f>PROPER(Tabla15[[#This Row],[CARGO]])</f>
        <v>Catalogo Manager</v>
      </c>
    </row>
    <row r="31" spans="1:14">
      <c r="A31" s="45">
        <v>30</v>
      </c>
      <c r="B31" s="2">
        <v>70329702</v>
      </c>
      <c r="C31" s="2" t="s">
        <v>243</v>
      </c>
      <c r="D31" s="2" t="s">
        <v>244</v>
      </c>
      <c r="E31" s="2" t="s">
        <v>245</v>
      </c>
      <c r="F31" s="2" t="s">
        <v>107</v>
      </c>
      <c r="G31" s="2" t="s">
        <v>25</v>
      </c>
      <c r="H31" s="2" t="s">
        <v>108</v>
      </c>
      <c r="I31" s="2" t="s">
        <v>108</v>
      </c>
      <c r="J31" s="43" t="s">
        <v>246</v>
      </c>
      <c r="K31" s="2" t="s">
        <v>108</v>
      </c>
      <c r="L31" s="2" t="s">
        <v>122</v>
      </c>
      <c r="M31" s="2" t="str">
        <f>PROPER(Tabla15[[#This Row],[NOMBRES Y APELLIDOS]])</f>
        <v>Darlinee Del Rosario Camacho Aponte</v>
      </c>
      <c r="N31" s="2" t="str">
        <f>PROPER(Tabla15[[#This Row],[CARGO]])</f>
        <v>Analista De Operaciones Y Mejora Continua</v>
      </c>
    </row>
    <row r="32" spans="1:14">
      <c r="A32" s="45">
        <v>31</v>
      </c>
      <c r="B32" s="2">
        <v>74746546</v>
      </c>
      <c r="C32" s="2" t="s">
        <v>247</v>
      </c>
      <c r="D32" s="2" t="s">
        <v>248</v>
      </c>
      <c r="E32" s="2" t="s">
        <v>249</v>
      </c>
      <c r="F32" s="2" t="s">
        <v>107</v>
      </c>
      <c r="G32" s="2" t="s">
        <v>25</v>
      </c>
      <c r="H32" s="2" t="s">
        <v>108</v>
      </c>
      <c r="I32" s="2" t="s">
        <v>108</v>
      </c>
      <c r="J32" s="32" t="s">
        <v>108</v>
      </c>
      <c r="K32" s="32" t="s">
        <v>108</v>
      </c>
      <c r="L32" s="2" t="s">
        <v>108</v>
      </c>
      <c r="M32" s="2" t="str">
        <f>PROPER(Tabla15[[#This Row],[NOMBRES Y APELLIDOS]])</f>
        <v>Dennis Omar Berru Garcia</v>
      </c>
      <c r="N32" s="2" t="str">
        <f>PROPER(Tabla15[[#This Row],[CARGO]])</f>
        <v>Operario De Almacen (Sistema De Picking)</v>
      </c>
    </row>
    <row r="33" spans="1:14">
      <c r="A33" s="45">
        <v>32</v>
      </c>
      <c r="B33" s="2">
        <v>77698152</v>
      </c>
      <c r="C33" s="2" t="s">
        <v>250</v>
      </c>
      <c r="D33" s="2" t="s">
        <v>251</v>
      </c>
      <c r="E33" s="2" t="s">
        <v>141</v>
      </c>
      <c r="F33" s="2" t="s">
        <v>107</v>
      </c>
      <c r="G33" s="2" t="s">
        <v>142</v>
      </c>
      <c r="H33" s="2" t="s">
        <v>108</v>
      </c>
      <c r="I33" s="2" t="s">
        <v>108</v>
      </c>
      <c r="J33" s="32" t="s">
        <v>252</v>
      </c>
      <c r="K33" s="32" t="s">
        <v>108</v>
      </c>
      <c r="L33" s="2" t="s">
        <v>108</v>
      </c>
      <c r="M33" s="2" t="str">
        <f>PROPER(Tabla15[[#This Row],[NOMBRES Y APELLIDOS]])</f>
        <v>Denniz Mercedes Gonia Curioso</v>
      </c>
      <c r="N33" s="2" t="str">
        <f>PROPER(Tabla15[[#This Row],[CARGO]])</f>
        <v>Analista De Creditos Y Cobranzas</v>
      </c>
    </row>
    <row r="34" spans="1:14">
      <c r="A34" s="45">
        <v>33</v>
      </c>
      <c r="B34" s="2">
        <v>71468909</v>
      </c>
      <c r="C34" s="2" t="s">
        <v>253</v>
      </c>
      <c r="D34" s="2" t="s">
        <v>254</v>
      </c>
      <c r="E34" s="2" t="s">
        <v>255</v>
      </c>
      <c r="F34" s="2" t="s">
        <v>107</v>
      </c>
      <c r="G34" s="2" t="s">
        <v>36</v>
      </c>
      <c r="H34" s="2" t="s">
        <v>108</v>
      </c>
      <c r="I34" s="2" t="s">
        <v>108</v>
      </c>
      <c r="J34" s="32" t="s">
        <v>256</v>
      </c>
      <c r="K34" s="32" t="s">
        <v>257</v>
      </c>
      <c r="L34" s="2" t="s">
        <v>103</v>
      </c>
      <c r="M34" s="2" t="str">
        <f>PROPER(Tabla15[[#This Row],[NOMBRES Y APELLIDOS]])</f>
        <v>Diana Broggi Mellado</v>
      </c>
      <c r="N34" s="2" t="str">
        <f>PROPER(Tabla15[[#This Row],[CARGO]])</f>
        <v>Analista De Marketing</v>
      </c>
    </row>
    <row r="35" spans="1:14">
      <c r="A35" s="45">
        <v>34</v>
      </c>
      <c r="B35" s="2">
        <v>72635489</v>
      </c>
      <c r="C35" s="2" t="s">
        <v>258</v>
      </c>
      <c r="D35" s="2" t="s">
        <v>259</v>
      </c>
      <c r="E35" s="2" t="s">
        <v>260</v>
      </c>
      <c r="F35" s="2" t="s">
        <v>107</v>
      </c>
      <c r="G35" s="2" t="s">
        <v>31</v>
      </c>
      <c r="H35" s="2" t="s">
        <v>108</v>
      </c>
      <c r="I35" s="2" t="s">
        <v>108</v>
      </c>
      <c r="J35" s="32" t="s">
        <v>261</v>
      </c>
      <c r="K35" s="32" t="s">
        <v>108</v>
      </c>
      <c r="L35" s="2" t="s">
        <v>108</v>
      </c>
      <c r="M35" s="2" t="str">
        <f>PROPER(Tabla15[[#This Row],[NOMBRES Y APELLIDOS]])</f>
        <v>Diana Lucia Hernandez Bacon</v>
      </c>
      <c r="N35" s="2" t="str">
        <f>PROPER(Tabla15[[#This Row],[CARGO]])</f>
        <v>Subgerente De Compras Y Desarrollo</v>
      </c>
    </row>
    <row r="36" spans="1:14">
      <c r="A36" s="45">
        <v>35</v>
      </c>
      <c r="B36" s="2">
        <v>47251305</v>
      </c>
      <c r="C36" s="2" t="s">
        <v>262</v>
      </c>
      <c r="D36" s="2" t="s">
        <v>263</v>
      </c>
      <c r="E36" s="2" t="s">
        <v>264</v>
      </c>
      <c r="F36" s="2" t="s">
        <v>107</v>
      </c>
      <c r="G36" s="2" t="s">
        <v>265</v>
      </c>
      <c r="H36" s="2" t="s">
        <v>108</v>
      </c>
      <c r="I36" s="2" t="s">
        <v>108</v>
      </c>
      <c r="J36" s="32" t="s">
        <v>266</v>
      </c>
      <c r="K36" s="32" t="s">
        <v>267</v>
      </c>
      <c r="L36" s="2" t="s">
        <v>116</v>
      </c>
      <c r="M36" s="2" t="str">
        <f>PROPER(Tabla15[[#This Row],[NOMBRES Y APELLIDOS]])</f>
        <v>Diego Alonso Alca Jeri</v>
      </c>
      <c r="N36" s="2" t="str">
        <f>PROPER(Tabla15[[#This Row],[CARGO]])</f>
        <v>Product Manager Team Leader</v>
      </c>
    </row>
    <row r="37" spans="1:14">
      <c r="A37" s="45">
        <v>36</v>
      </c>
      <c r="B37" s="2">
        <v>7222879</v>
      </c>
      <c r="C37" s="2" t="s">
        <v>268</v>
      </c>
      <c r="D37" s="2" t="s">
        <v>269</v>
      </c>
      <c r="E37" s="2" t="s">
        <v>125</v>
      </c>
      <c r="F37" s="2" t="s">
        <v>107</v>
      </c>
      <c r="G37" s="2" t="s">
        <v>27</v>
      </c>
      <c r="H37" s="2" t="s">
        <v>217</v>
      </c>
      <c r="I37" s="2" t="s">
        <v>218</v>
      </c>
      <c r="J37" s="32" t="s">
        <v>270</v>
      </c>
      <c r="K37" s="32" t="s">
        <v>271</v>
      </c>
      <c r="L37" s="2" t="s">
        <v>116</v>
      </c>
      <c r="M37" s="2" t="str">
        <f>PROPER(Tabla15[[#This Row],[NOMBRES Y APELLIDOS]])</f>
        <v>Dionisia Alo Pardo Astocaza De Alarcon</v>
      </c>
      <c r="N37" s="2" t="str">
        <f>PROPER(Tabla15[[#This Row],[CARGO]])</f>
        <v>Generador De Negocios</v>
      </c>
    </row>
    <row r="38" spans="1:14">
      <c r="A38" s="45">
        <v>37</v>
      </c>
      <c r="B38" s="2">
        <v>2257213</v>
      </c>
      <c r="C38" s="2" t="s">
        <v>126</v>
      </c>
      <c r="D38" s="2" t="s">
        <v>272</v>
      </c>
      <c r="E38" s="2" t="s">
        <v>181</v>
      </c>
      <c r="F38" s="2" t="s">
        <v>107</v>
      </c>
      <c r="G38" s="2" t="s">
        <v>27</v>
      </c>
      <c r="H38" s="2" t="s">
        <v>182</v>
      </c>
      <c r="I38" s="2" t="s">
        <v>100</v>
      </c>
      <c r="J38" s="32" t="s">
        <v>273</v>
      </c>
      <c r="K38" s="32" t="s">
        <v>274</v>
      </c>
      <c r="L38" s="2" t="s">
        <v>116</v>
      </c>
      <c r="M38" s="2" t="str">
        <f>PROPER(Tabla15[[#This Row],[NOMBRES Y APELLIDOS]])</f>
        <v>Edgar Alejandro Albarran Villasmil</v>
      </c>
      <c r="N38" s="2" t="str">
        <f>PROPER(Tabla15[[#This Row],[CARGO]])</f>
        <v>Supervisor De Ventas</v>
      </c>
    </row>
    <row r="39" spans="1:14">
      <c r="A39" s="45">
        <v>38</v>
      </c>
      <c r="B39" s="2">
        <v>46241165</v>
      </c>
      <c r="C39" s="2" t="s">
        <v>275</v>
      </c>
      <c r="D39" s="2" t="s">
        <v>276</v>
      </c>
      <c r="E39" s="2" t="s">
        <v>125</v>
      </c>
      <c r="F39" s="2" t="s">
        <v>107</v>
      </c>
      <c r="G39" s="2" t="s">
        <v>27</v>
      </c>
      <c r="H39" s="2" t="s">
        <v>277</v>
      </c>
      <c r="I39" s="2" t="s">
        <v>100</v>
      </c>
      <c r="J39" s="32" t="s">
        <v>278</v>
      </c>
      <c r="K39" s="32" t="s">
        <v>279</v>
      </c>
      <c r="L39" s="2" t="s">
        <v>103</v>
      </c>
      <c r="M39" s="2" t="str">
        <f>PROPER(Tabla15[[#This Row],[NOMBRES Y APELLIDOS]])</f>
        <v>Edwin Alberto Achata Roque</v>
      </c>
      <c r="N39" s="2" t="str">
        <f>PROPER(Tabla15[[#This Row],[CARGO]])</f>
        <v>Generador De Negocios</v>
      </c>
    </row>
    <row r="40" spans="1:14">
      <c r="A40" s="45">
        <v>39</v>
      </c>
      <c r="B40" s="2">
        <v>46165445</v>
      </c>
      <c r="C40" s="2" t="s">
        <v>280</v>
      </c>
      <c r="D40" s="2" t="s">
        <v>281</v>
      </c>
      <c r="E40" s="2" t="s">
        <v>97</v>
      </c>
      <c r="F40" s="2" t="s">
        <v>107</v>
      </c>
      <c r="G40" s="2" t="s">
        <v>24</v>
      </c>
      <c r="H40" s="2" t="s">
        <v>99</v>
      </c>
      <c r="I40" s="2" t="s">
        <v>100</v>
      </c>
      <c r="J40" s="32" t="s">
        <v>282</v>
      </c>
      <c r="K40" s="32" t="s">
        <v>283</v>
      </c>
      <c r="L40" s="2" t="s">
        <v>103</v>
      </c>
      <c r="M40" s="2" t="str">
        <f>PROPER(Tabla15[[#This Row],[NOMBRES Y APELLIDOS]])</f>
        <v>Eliana Del Carmen Martinez Gonzales</v>
      </c>
      <c r="N40" s="2" t="str">
        <f>PROPER(Tabla15[[#This Row],[CARGO]])</f>
        <v>Ejecutivo De Ventas De Call Center</v>
      </c>
    </row>
    <row r="41" spans="1:14">
      <c r="A41" s="45">
        <v>40</v>
      </c>
      <c r="B41" s="2">
        <v>45662725</v>
      </c>
      <c r="C41" s="2" t="s">
        <v>284</v>
      </c>
      <c r="D41" s="2" t="s">
        <v>285</v>
      </c>
      <c r="E41" s="2" t="s">
        <v>286</v>
      </c>
      <c r="F41" s="2" t="s">
        <v>107</v>
      </c>
      <c r="G41" s="2" t="s">
        <v>22</v>
      </c>
      <c r="H41" s="2" t="s">
        <v>152</v>
      </c>
      <c r="I41" s="2" t="s">
        <v>22</v>
      </c>
      <c r="J41" s="32" t="s">
        <v>287</v>
      </c>
      <c r="K41" s="32" t="s">
        <v>288</v>
      </c>
      <c r="L41" s="2" t="s">
        <v>116</v>
      </c>
      <c r="M41" s="2" t="str">
        <f>PROPER(Tabla15[[#This Row],[NOMBRES Y APELLIDOS]])</f>
        <v>Emilia Geny Tiza Cotrina</v>
      </c>
      <c r="N41" s="2" t="str">
        <f>PROPER(Tabla15[[#This Row],[CARGO]])</f>
        <v>Asistente B2B</v>
      </c>
    </row>
    <row r="42" spans="1:14">
      <c r="A42" s="45">
        <v>41</v>
      </c>
      <c r="B42" s="2">
        <v>71318776</v>
      </c>
      <c r="C42" s="2" t="s">
        <v>289</v>
      </c>
      <c r="D42" s="2" t="s">
        <v>290</v>
      </c>
      <c r="E42" s="2" t="s">
        <v>151</v>
      </c>
      <c r="F42" s="2" t="s">
        <v>107</v>
      </c>
      <c r="G42" s="2" t="s">
        <v>22</v>
      </c>
      <c r="H42" s="2" t="s">
        <v>152</v>
      </c>
      <c r="I42" s="2" t="s">
        <v>22</v>
      </c>
      <c r="J42" s="32" t="s">
        <v>291</v>
      </c>
      <c r="K42" s="32" t="s">
        <v>292</v>
      </c>
      <c r="L42" s="2" t="s">
        <v>116</v>
      </c>
      <c r="M42" s="2" t="str">
        <f>PROPER(Tabla15[[#This Row],[NOMBRES Y APELLIDOS]])</f>
        <v>Emily Irene Apaza Ccorimanya</v>
      </c>
      <c r="N42" s="2" t="str">
        <f>PROPER(Tabla15[[#This Row],[CARGO]])</f>
        <v>Ejecutivo B2B</v>
      </c>
    </row>
    <row r="43" spans="1:14">
      <c r="A43" s="45">
        <v>42</v>
      </c>
      <c r="B43" s="2">
        <v>25785885</v>
      </c>
      <c r="C43" s="2" t="s">
        <v>99</v>
      </c>
      <c r="D43" s="2" t="s">
        <v>293</v>
      </c>
      <c r="E43" s="2" t="s">
        <v>294</v>
      </c>
      <c r="F43" s="2" t="s">
        <v>107</v>
      </c>
      <c r="G43" s="2" t="s">
        <v>24</v>
      </c>
      <c r="H43" s="2" t="s">
        <v>99</v>
      </c>
      <c r="I43" s="2" t="s">
        <v>100</v>
      </c>
      <c r="J43" s="32" t="s">
        <v>295</v>
      </c>
      <c r="K43" s="32" t="s">
        <v>296</v>
      </c>
      <c r="L43" s="2" t="s">
        <v>103</v>
      </c>
      <c r="M43" s="2" t="str">
        <f>PROPER(Tabla15[[#This Row],[NOMBRES Y APELLIDOS]])</f>
        <v>Enrique Martin Hidalgo Cadillo</v>
      </c>
      <c r="N43" s="2" t="str">
        <f>PROPER(Tabla15[[#This Row],[CARGO]])</f>
        <v>Jefe De Ventas Canal Call Center</v>
      </c>
    </row>
    <row r="44" spans="1:14">
      <c r="A44" s="45">
        <v>43</v>
      </c>
      <c r="B44" s="2">
        <v>71507257</v>
      </c>
      <c r="C44" s="2" t="s">
        <v>297</v>
      </c>
      <c r="D44" s="2" t="s">
        <v>298</v>
      </c>
      <c r="E44" s="2" t="s">
        <v>299</v>
      </c>
      <c r="F44" s="2" t="s">
        <v>107</v>
      </c>
      <c r="G44" s="2" t="s">
        <v>25</v>
      </c>
      <c r="H44" s="2" t="s">
        <v>108</v>
      </c>
      <c r="I44" s="2" t="s">
        <v>108</v>
      </c>
      <c r="J44" s="2" t="s">
        <v>108</v>
      </c>
      <c r="K44" s="2" t="s">
        <v>108</v>
      </c>
      <c r="L44" s="2" t="s">
        <v>108</v>
      </c>
      <c r="M44" s="2" t="str">
        <f>PROPER(Tabla15[[#This Row],[NOMBRES Y APELLIDOS]])</f>
        <v>Erick Alonso Barranzuela Lopez</v>
      </c>
      <c r="N44" s="2" t="str">
        <f>PROPER(Tabla15[[#This Row],[CARGO]])</f>
        <v>Operario De Almacen</v>
      </c>
    </row>
    <row r="45" spans="1:14">
      <c r="A45" s="45">
        <v>44</v>
      </c>
      <c r="B45" s="2">
        <v>70192978</v>
      </c>
      <c r="C45" s="2" t="s">
        <v>300</v>
      </c>
      <c r="D45" s="2" t="s">
        <v>301</v>
      </c>
      <c r="E45" s="2" t="s">
        <v>302</v>
      </c>
      <c r="F45" s="2" t="s">
        <v>107</v>
      </c>
      <c r="G45" s="2" t="s">
        <v>27</v>
      </c>
      <c r="H45" s="2" t="s">
        <v>108</v>
      </c>
      <c r="I45" s="2" t="s">
        <v>108</v>
      </c>
      <c r="J45" s="43" t="s">
        <v>303</v>
      </c>
      <c r="K45" s="43" t="s">
        <v>304</v>
      </c>
      <c r="L45" s="2" t="s">
        <v>122</v>
      </c>
      <c r="M45" s="2" t="str">
        <f>PROPER(Tabla15[[#This Row],[NOMBRES Y APELLIDOS]])</f>
        <v>Esther Aguilar Ocas</v>
      </c>
      <c r="N45" s="2" t="str">
        <f>PROPER(Tabla15[[#This Row],[CARGO]])</f>
        <v>Generador De Negocios - Cajamarca</v>
      </c>
    </row>
    <row r="46" spans="1:14">
      <c r="A46" s="45">
        <v>45</v>
      </c>
      <c r="B46" s="2">
        <v>48350278</v>
      </c>
      <c r="C46" s="2" t="s">
        <v>305</v>
      </c>
      <c r="D46" s="2" t="s">
        <v>306</v>
      </c>
      <c r="E46" s="2" t="s">
        <v>307</v>
      </c>
      <c r="F46" s="2" t="s">
        <v>107</v>
      </c>
      <c r="G46" s="2" t="s">
        <v>25</v>
      </c>
      <c r="H46" s="2" t="s">
        <v>108</v>
      </c>
      <c r="I46" s="2" t="s">
        <v>108</v>
      </c>
      <c r="J46" s="32" t="s">
        <v>308</v>
      </c>
      <c r="K46" s="32" t="s">
        <v>108</v>
      </c>
      <c r="L46" s="2" t="s">
        <v>108</v>
      </c>
      <c r="M46" s="2" t="str">
        <f>PROPER(Tabla15[[#This Row],[NOMBRES Y APELLIDOS]])</f>
        <v>Lidia Fabiana Aparicio Salazar</v>
      </c>
      <c r="N46" s="2" t="str">
        <f>PROPER(Tabla15[[#This Row],[CARGO]])</f>
        <v>Lider De Picking Y Packing</v>
      </c>
    </row>
    <row r="47" spans="1:14">
      <c r="A47" s="45">
        <v>46</v>
      </c>
      <c r="B47" s="2">
        <v>47838798</v>
      </c>
      <c r="C47" s="2" t="s">
        <v>309</v>
      </c>
      <c r="D47" s="2" t="s">
        <v>310</v>
      </c>
      <c r="E47" s="2" t="s">
        <v>311</v>
      </c>
      <c r="F47" s="2" t="s">
        <v>107</v>
      </c>
      <c r="G47" s="2" t="s">
        <v>40</v>
      </c>
      <c r="H47" s="2" t="s">
        <v>108</v>
      </c>
      <c r="I47" s="2" t="s">
        <v>108</v>
      </c>
      <c r="J47" s="32" t="s">
        <v>312</v>
      </c>
      <c r="K47" s="32" t="s">
        <v>313</v>
      </c>
      <c r="L47" s="2" t="s">
        <v>116</v>
      </c>
      <c r="M47" s="2" t="str">
        <f>PROPER(Tabla15[[#This Row],[NOMBRES Y APELLIDOS]])</f>
        <v>Fabiola Nicole Laurente Huaman</v>
      </c>
      <c r="N47" s="2" t="str">
        <f>PROPER(Tabla15[[#This Row],[CARGO]])</f>
        <v>Analista De Nomina Y Adm De Personal</v>
      </c>
    </row>
    <row r="48" spans="1:14">
      <c r="A48" s="45">
        <v>47</v>
      </c>
      <c r="B48" s="2">
        <v>10093372</v>
      </c>
      <c r="C48" s="2" t="s">
        <v>314</v>
      </c>
      <c r="D48" s="2" t="s">
        <v>315</v>
      </c>
      <c r="E48" s="2" t="s">
        <v>26</v>
      </c>
      <c r="F48" s="2" t="s">
        <v>107</v>
      </c>
      <c r="G48" s="2" t="s">
        <v>39</v>
      </c>
      <c r="H48" s="2" t="s">
        <v>108</v>
      </c>
      <c r="I48" s="2" t="s">
        <v>108</v>
      </c>
      <c r="J48" s="32" t="s">
        <v>316</v>
      </c>
      <c r="K48" s="32" t="s">
        <v>317</v>
      </c>
      <c r="L48" s="2" t="s">
        <v>116</v>
      </c>
      <c r="M48" s="2" t="str">
        <f>PROPER(Tabla15[[#This Row],[NOMBRES Y APELLIDOS]])</f>
        <v>Felix Oswaldo Yactayo Cuzcano</v>
      </c>
      <c r="N48" s="2" t="str">
        <f>PROPER(Tabla15[[#This Row],[CARGO]])</f>
        <v>Catalogo Manager</v>
      </c>
    </row>
    <row r="49" spans="1:14">
      <c r="A49" s="45">
        <v>48</v>
      </c>
      <c r="B49" s="2">
        <v>48820763</v>
      </c>
      <c r="C49" s="2" t="s">
        <v>318</v>
      </c>
      <c r="D49" s="2" t="s">
        <v>319</v>
      </c>
      <c r="E49" s="2" t="s">
        <v>106</v>
      </c>
      <c r="F49" s="2" t="s">
        <v>98</v>
      </c>
      <c r="G49" s="2" t="s">
        <v>25</v>
      </c>
      <c r="H49" s="2" t="s">
        <v>108</v>
      </c>
      <c r="I49" s="2" t="s">
        <v>108</v>
      </c>
      <c r="J49" s="32" t="s">
        <v>108</v>
      </c>
      <c r="K49" s="32" t="s">
        <v>108</v>
      </c>
      <c r="L49" s="2" t="s">
        <v>108</v>
      </c>
      <c r="M49" s="2" t="str">
        <f>PROPER(Tabla15[[#This Row],[NOMBRES Y APELLIDOS]])</f>
        <v>Fernando Antonio Salazar Farfan</v>
      </c>
      <c r="N49" s="2" t="str">
        <f>PROPER(Tabla15[[#This Row],[CARGO]])</f>
        <v>Encargado Operativo</v>
      </c>
    </row>
    <row r="50" spans="1:14">
      <c r="A50" s="45">
        <v>49</v>
      </c>
      <c r="B50" s="2">
        <v>10268632</v>
      </c>
      <c r="C50" s="2" t="s">
        <v>320</v>
      </c>
      <c r="D50" s="2" t="s">
        <v>321</v>
      </c>
      <c r="E50" s="2" t="s">
        <v>322</v>
      </c>
      <c r="F50" s="2" t="s">
        <v>107</v>
      </c>
      <c r="G50" s="2" t="s">
        <v>34</v>
      </c>
      <c r="H50" s="2" t="s">
        <v>108</v>
      </c>
      <c r="I50" s="2" t="s">
        <v>108</v>
      </c>
      <c r="J50" s="32" t="s">
        <v>323</v>
      </c>
      <c r="K50" s="32" t="s">
        <v>108</v>
      </c>
      <c r="L50" s="2" t="s">
        <v>108</v>
      </c>
      <c r="M50" s="2" t="str">
        <f>PROPER(Tabla15[[#This Row],[NOMBRES Y APELLIDOS]])</f>
        <v>Francisco De Paula Otero Ramirez</v>
      </c>
      <c r="N50" s="2" t="str">
        <f>PROPER(Tabla15[[#This Row],[CARGO]])</f>
        <v>Gerente General</v>
      </c>
    </row>
    <row r="51" spans="1:14">
      <c r="A51" s="45">
        <v>50</v>
      </c>
      <c r="B51" s="2">
        <v>46396601</v>
      </c>
      <c r="C51" s="2" t="s">
        <v>324</v>
      </c>
      <c r="D51" s="2" t="s">
        <v>325</v>
      </c>
      <c r="E51" s="2" t="s">
        <v>326</v>
      </c>
      <c r="F51" s="2" t="s">
        <v>107</v>
      </c>
      <c r="G51" s="2" t="s">
        <v>25</v>
      </c>
      <c r="H51" s="2" t="s">
        <v>108</v>
      </c>
      <c r="I51" s="2" t="s">
        <v>108</v>
      </c>
      <c r="J51" s="32" t="s">
        <v>108</v>
      </c>
      <c r="K51" s="32" t="s">
        <v>327</v>
      </c>
      <c r="L51" s="2" t="s">
        <v>116</v>
      </c>
      <c r="M51" s="2" t="str">
        <f>PROPER(Tabla15[[#This Row],[NOMBRES Y APELLIDOS]])</f>
        <v>German Alonso Añazco Delgado</v>
      </c>
      <c r="N51" s="2" t="str">
        <f>PROPER(Tabla15[[#This Row],[CARGO]])</f>
        <v>Key Account Manager</v>
      </c>
    </row>
    <row r="52" spans="1:14">
      <c r="A52" s="45">
        <v>51</v>
      </c>
      <c r="B52" s="2">
        <v>44369952</v>
      </c>
      <c r="C52" s="2" t="s">
        <v>328</v>
      </c>
      <c r="D52" s="2" t="s">
        <v>329</v>
      </c>
      <c r="E52" s="2" t="s">
        <v>330</v>
      </c>
      <c r="F52" s="2" t="s">
        <v>107</v>
      </c>
      <c r="G52" s="2" t="s">
        <v>25</v>
      </c>
      <c r="H52" s="2" t="s">
        <v>108</v>
      </c>
      <c r="I52" s="2" t="s">
        <v>108</v>
      </c>
      <c r="J52" s="43" t="s">
        <v>331</v>
      </c>
      <c r="K52" s="2" t="s">
        <v>108</v>
      </c>
      <c r="L52" s="2" t="s">
        <v>108</v>
      </c>
      <c r="M52" s="2" t="str">
        <f>PROPER(Tabla15[[#This Row],[NOMBRES Y APELLIDOS]])</f>
        <v>Gerson Gregorio Apolinario Cochachi</v>
      </c>
      <c r="N52" s="2" t="str">
        <f>PROPER(Tabla15[[#This Row],[CARGO]])</f>
        <v>Lider De Reabastecimiento</v>
      </c>
    </row>
    <row r="53" spans="1:14">
      <c r="A53" s="45">
        <v>52</v>
      </c>
      <c r="B53" s="2">
        <v>48347545</v>
      </c>
      <c r="C53" s="2" t="s">
        <v>332</v>
      </c>
      <c r="D53" s="2" t="s">
        <v>333</v>
      </c>
      <c r="E53" s="2" t="s">
        <v>172</v>
      </c>
      <c r="F53" s="2" t="s">
        <v>98</v>
      </c>
      <c r="G53" s="2" t="s">
        <v>42</v>
      </c>
      <c r="H53" s="2" t="s">
        <v>108</v>
      </c>
      <c r="I53" s="2" t="s">
        <v>108</v>
      </c>
      <c r="J53" s="32" t="s">
        <v>334</v>
      </c>
      <c r="K53" s="32" t="s">
        <v>335</v>
      </c>
      <c r="L53" s="2" t="s">
        <v>116</v>
      </c>
      <c r="M53" s="2" t="str">
        <f>PROPER(Tabla15[[#This Row],[NOMBRES Y APELLIDOS]])</f>
        <v>Gherel Luis Tocas Medina</v>
      </c>
      <c r="N53" s="2" t="str">
        <f>PROPER(Tabla15[[#This Row],[CARGO]])</f>
        <v>Asistente De Ti</v>
      </c>
    </row>
    <row r="54" spans="1:14">
      <c r="A54" s="45">
        <v>53</v>
      </c>
      <c r="B54" s="2">
        <v>76856031</v>
      </c>
      <c r="C54" s="2" t="s">
        <v>336</v>
      </c>
      <c r="D54" s="2" t="s">
        <v>337</v>
      </c>
      <c r="E54" s="2" t="s">
        <v>338</v>
      </c>
      <c r="F54" s="2" t="s">
        <v>107</v>
      </c>
      <c r="G54" s="2" t="s">
        <v>70</v>
      </c>
      <c r="H54" s="2" t="s">
        <v>108</v>
      </c>
      <c r="I54" s="2" t="s">
        <v>108</v>
      </c>
      <c r="J54" s="32" t="s">
        <v>339</v>
      </c>
      <c r="K54" s="32" t="s">
        <v>340</v>
      </c>
      <c r="L54" s="2" t="s">
        <v>116</v>
      </c>
      <c r="M54" s="2" t="str">
        <f>PROPER(Tabla15[[#This Row],[NOMBRES Y APELLIDOS]])</f>
        <v>Gianella Anthuanet Soller Laiza</v>
      </c>
      <c r="N54" s="2" t="str">
        <f>PROPER(Tabla15[[#This Row],[CARGO]])</f>
        <v>Analista De Tesorería</v>
      </c>
    </row>
    <row r="55" spans="1:14">
      <c r="A55" s="45">
        <v>54</v>
      </c>
      <c r="B55" s="2">
        <v>42236011</v>
      </c>
      <c r="C55" s="2" t="s">
        <v>341</v>
      </c>
      <c r="D55" s="2" t="s">
        <v>342</v>
      </c>
      <c r="E55" s="2" t="s">
        <v>125</v>
      </c>
      <c r="F55" s="2" t="s">
        <v>107</v>
      </c>
      <c r="G55" s="2" t="s">
        <v>27</v>
      </c>
      <c r="H55" s="2" t="s">
        <v>217</v>
      </c>
      <c r="I55" s="2" t="s">
        <v>218</v>
      </c>
      <c r="J55" s="32" t="s">
        <v>343</v>
      </c>
      <c r="K55" s="32" t="s">
        <v>344</v>
      </c>
      <c r="L55" s="2" t="s">
        <v>116</v>
      </c>
      <c r="M55" s="2" t="str">
        <f>PROPER(Tabla15[[#This Row],[NOMBRES Y APELLIDOS]])</f>
        <v>Guillermo Eduardo Malca Canchari</v>
      </c>
      <c r="N55" s="2" t="str">
        <f>PROPER(Tabla15[[#This Row],[CARGO]])</f>
        <v>Generador De Negocios</v>
      </c>
    </row>
    <row r="56" spans="1:14">
      <c r="A56" s="45">
        <v>55</v>
      </c>
      <c r="B56" s="2">
        <v>44313391</v>
      </c>
      <c r="C56" s="2" t="s">
        <v>345</v>
      </c>
      <c r="D56" s="2" t="s">
        <v>346</v>
      </c>
      <c r="E56" s="2" t="s">
        <v>347</v>
      </c>
      <c r="F56" s="2" t="s">
        <v>107</v>
      </c>
      <c r="G56" s="2" t="s">
        <v>70</v>
      </c>
      <c r="H56" s="2" t="s">
        <v>108</v>
      </c>
      <c r="I56" s="2" t="s">
        <v>108</v>
      </c>
      <c r="J56" s="32" t="s">
        <v>348</v>
      </c>
      <c r="K56" s="32" t="s">
        <v>349</v>
      </c>
      <c r="L56" s="2" t="s">
        <v>116</v>
      </c>
      <c r="M56" s="2" t="str">
        <f>PROPER(Tabla15[[#This Row],[NOMBRES Y APELLIDOS]])</f>
        <v>Guina Bustos Bueno</v>
      </c>
      <c r="N56" s="2" t="str">
        <f>PROPER(Tabla15[[#This Row],[CARGO]])</f>
        <v>Jefe De Tesoreria</v>
      </c>
    </row>
    <row r="57" spans="1:14">
      <c r="A57" s="45">
        <v>56</v>
      </c>
      <c r="B57" s="2">
        <v>42641238</v>
      </c>
      <c r="C57" s="2" t="s">
        <v>350</v>
      </c>
      <c r="D57" s="2" t="s">
        <v>351</v>
      </c>
      <c r="E57" s="2" t="s">
        <v>352</v>
      </c>
      <c r="F57" s="2" t="s">
        <v>107</v>
      </c>
      <c r="G57" s="2" t="s">
        <v>353</v>
      </c>
      <c r="H57" s="2" t="s">
        <v>108</v>
      </c>
      <c r="I57" s="2" t="s">
        <v>108</v>
      </c>
      <c r="J57" s="32" t="s">
        <v>354</v>
      </c>
      <c r="K57" s="32" t="s">
        <v>355</v>
      </c>
      <c r="L57" s="2" t="s">
        <v>103</v>
      </c>
      <c r="M57" s="2" t="str">
        <f>PROPER(Tabla15[[#This Row],[NOMBRES Y APELLIDOS]])</f>
        <v>Gustavo Adolfo Nava Zamora</v>
      </c>
      <c r="N57" s="2" t="str">
        <f>PROPER(Tabla15[[#This Row],[CARGO]])</f>
        <v>Auditor Interno</v>
      </c>
    </row>
    <row r="58" spans="1:14">
      <c r="A58" s="45">
        <v>57</v>
      </c>
      <c r="B58" s="2">
        <v>21577031</v>
      </c>
      <c r="C58" s="2" t="s">
        <v>356</v>
      </c>
      <c r="D58" s="2" t="s">
        <v>357</v>
      </c>
      <c r="E58" s="2" t="s">
        <v>358</v>
      </c>
      <c r="F58" s="2" t="s">
        <v>107</v>
      </c>
      <c r="G58" s="2" t="s">
        <v>142</v>
      </c>
      <c r="H58" s="2" t="s">
        <v>108</v>
      </c>
      <c r="I58" s="2" t="s">
        <v>108</v>
      </c>
      <c r="J58" s="32" t="s">
        <v>359</v>
      </c>
      <c r="K58" s="32" t="s">
        <v>360</v>
      </c>
      <c r="L58" s="2" t="s">
        <v>116</v>
      </c>
      <c r="M58" s="2" t="str">
        <f>PROPER(Tabla15[[#This Row],[NOMBRES Y APELLIDOS]])</f>
        <v>Hector Eduardo Del Castillo Velasco</v>
      </c>
      <c r="N58" s="2" t="str">
        <f>PROPER(Tabla15[[#This Row],[CARGO]])</f>
        <v>Gestor De Cobranzas</v>
      </c>
    </row>
    <row r="59" spans="1:14">
      <c r="A59" s="45">
        <v>58</v>
      </c>
      <c r="B59" s="2">
        <v>73332707</v>
      </c>
      <c r="C59" s="2" t="s">
        <v>361</v>
      </c>
      <c r="D59" s="2" t="s">
        <v>362</v>
      </c>
      <c r="E59" s="2" t="s">
        <v>125</v>
      </c>
      <c r="F59" s="2" t="s">
        <v>107</v>
      </c>
      <c r="G59" s="2" t="s">
        <v>27</v>
      </c>
      <c r="H59" s="2" t="s">
        <v>177</v>
      </c>
      <c r="I59" s="2" t="s">
        <v>100</v>
      </c>
      <c r="J59" s="32" t="s">
        <v>363</v>
      </c>
      <c r="K59" s="32" t="s">
        <v>364</v>
      </c>
      <c r="L59" s="2" t="s">
        <v>116</v>
      </c>
      <c r="M59" s="2" t="str">
        <f>PROPER(Tabla15[[#This Row],[NOMBRES Y APELLIDOS]])</f>
        <v>Hector Manuel Juarez Concha</v>
      </c>
      <c r="N59" s="2" t="str">
        <f>PROPER(Tabla15[[#This Row],[CARGO]])</f>
        <v>Generador De Negocios</v>
      </c>
    </row>
    <row r="60" spans="1:14">
      <c r="A60" s="45">
        <v>59</v>
      </c>
      <c r="B60" s="2">
        <v>8887718</v>
      </c>
      <c r="C60" s="2" t="s">
        <v>365</v>
      </c>
      <c r="D60" s="2" t="s">
        <v>366</v>
      </c>
      <c r="E60" s="2" t="s">
        <v>367</v>
      </c>
      <c r="F60" s="2" t="s">
        <v>107</v>
      </c>
      <c r="G60" s="2" t="s">
        <v>39</v>
      </c>
      <c r="H60" s="2" t="s">
        <v>108</v>
      </c>
      <c r="I60" s="2" t="s">
        <v>108</v>
      </c>
      <c r="J60" s="32" t="s">
        <v>368</v>
      </c>
      <c r="K60" s="32" t="s">
        <v>369</v>
      </c>
      <c r="L60" s="2" t="s">
        <v>116</v>
      </c>
      <c r="M60" s="2" t="str">
        <f>PROPER(Tabla15[[#This Row],[NOMBRES Y APELLIDOS]])</f>
        <v>Hugo Santiago Juarez Chinchay</v>
      </c>
      <c r="N60" s="2" t="str">
        <f>PROPER(Tabla15[[#This Row],[CARGO]])</f>
        <v>Coordinador De Productos</v>
      </c>
    </row>
    <row r="61" spans="1:14">
      <c r="A61" s="45">
        <v>60</v>
      </c>
      <c r="B61" s="2">
        <v>45123698</v>
      </c>
      <c r="C61" s="2" t="s">
        <v>370</v>
      </c>
      <c r="D61" s="2" t="s">
        <v>371</v>
      </c>
      <c r="E61" s="2" t="s">
        <v>372</v>
      </c>
      <c r="F61" s="2" t="s">
        <v>107</v>
      </c>
      <c r="G61" s="2" t="s">
        <v>36</v>
      </c>
      <c r="H61" s="2" t="s">
        <v>108</v>
      </c>
      <c r="I61" s="2" t="s">
        <v>108</v>
      </c>
      <c r="J61" s="32" t="s">
        <v>373</v>
      </c>
      <c r="K61" s="32" t="s">
        <v>374</v>
      </c>
      <c r="L61" s="2" t="s">
        <v>116</v>
      </c>
      <c r="M61" s="2" t="str">
        <f>PROPER(Tabla15[[#This Row],[NOMBRES Y APELLIDOS]])</f>
        <v>Hugo Andres Aldo Villafuerte Reguera</v>
      </c>
      <c r="N61" s="2" t="str">
        <f>PROPER(Tabla15[[#This Row],[CARGO]])</f>
        <v>Jefe De Marketing</v>
      </c>
    </row>
    <row r="62" spans="1:14">
      <c r="A62" s="45">
        <v>61</v>
      </c>
      <c r="B62" s="2">
        <v>47561186</v>
      </c>
      <c r="C62" s="2" t="s">
        <v>375</v>
      </c>
      <c r="D62" s="2" t="s">
        <v>376</v>
      </c>
      <c r="E62" s="2" t="s">
        <v>377</v>
      </c>
      <c r="F62" s="2" t="s">
        <v>98</v>
      </c>
      <c r="G62" s="2" t="s">
        <v>22</v>
      </c>
      <c r="H62" s="2" t="s">
        <v>152</v>
      </c>
      <c r="I62" s="2" t="s">
        <v>22</v>
      </c>
      <c r="J62" s="32" t="s">
        <v>378</v>
      </c>
      <c r="K62" s="32" t="s">
        <v>379</v>
      </c>
      <c r="L62" s="2" t="s">
        <v>116</v>
      </c>
      <c r="M62" s="2" t="str">
        <f>PROPER(Tabla15[[#This Row],[NOMBRES Y APELLIDOS]])</f>
        <v>Ingrid Estrella Herrera Alvarez</v>
      </c>
      <c r="N62" s="2" t="str">
        <f>PROPER(Tabla15[[#This Row],[CARGO]])</f>
        <v>Ejecutivo B2B Call Center</v>
      </c>
    </row>
    <row r="63" spans="1:14">
      <c r="A63" s="45">
        <v>62</v>
      </c>
      <c r="B63" s="2">
        <v>43147349</v>
      </c>
      <c r="C63" s="2" t="s">
        <v>380</v>
      </c>
      <c r="D63" s="2" t="s">
        <v>381</v>
      </c>
      <c r="E63" s="2" t="s">
        <v>125</v>
      </c>
      <c r="F63" s="2" t="s">
        <v>98</v>
      </c>
      <c r="G63" s="2" t="s">
        <v>27</v>
      </c>
      <c r="H63" s="2" t="s">
        <v>126</v>
      </c>
      <c r="I63" s="2" t="s">
        <v>100</v>
      </c>
      <c r="J63" s="32" t="s">
        <v>382</v>
      </c>
      <c r="K63" s="32" t="s">
        <v>383</v>
      </c>
      <c r="L63" s="2" t="s">
        <v>103</v>
      </c>
      <c r="M63" s="2" t="str">
        <f>PROPER(Tabla15[[#This Row],[NOMBRES Y APELLIDOS]])</f>
        <v>Isidro Valverde Juarez</v>
      </c>
      <c r="N63" s="2" t="str">
        <f>PROPER(Tabla15[[#This Row],[CARGO]])</f>
        <v>Generador De Negocios</v>
      </c>
    </row>
    <row r="64" spans="1:14">
      <c r="A64" s="45">
        <v>63</v>
      </c>
      <c r="B64" s="2">
        <v>42103789</v>
      </c>
      <c r="C64" s="2" t="s">
        <v>384</v>
      </c>
      <c r="D64" s="2" t="s">
        <v>385</v>
      </c>
      <c r="E64" s="2" t="s">
        <v>181</v>
      </c>
      <c r="F64" s="2" t="s">
        <v>107</v>
      </c>
      <c r="G64" s="2" t="s">
        <v>27</v>
      </c>
      <c r="H64" s="2" t="s">
        <v>182</v>
      </c>
      <c r="I64" s="2" t="s">
        <v>100</v>
      </c>
      <c r="J64" s="32" t="s">
        <v>386</v>
      </c>
      <c r="K64" s="32" t="s">
        <v>387</v>
      </c>
      <c r="L64" s="2" t="s">
        <v>116</v>
      </c>
      <c r="M64" s="2" t="str">
        <f>PROPER(Tabla15[[#This Row],[NOMBRES Y APELLIDOS]])</f>
        <v>Ivan David Gutierrez Huarancca</v>
      </c>
      <c r="N64" s="2" t="str">
        <f>PROPER(Tabla15[[#This Row],[CARGO]])</f>
        <v>Supervisor De Ventas</v>
      </c>
    </row>
    <row r="65" spans="1:14">
      <c r="A65" s="45">
        <v>64</v>
      </c>
      <c r="B65" s="2">
        <v>42145054</v>
      </c>
      <c r="C65" s="2" t="s">
        <v>388</v>
      </c>
      <c r="D65" s="2" t="s">
        <v>389</v>
      </c>
      <c r="E65" s="2" t="s">
        <v>226</v>
      </c>
      <c r="F65" s="2" t="s">
        <v>98</v>
      </c>
      <c r="G65" s="2" t="s">
        <v>40</v>
      </c>
      <c r="H65" s="2" t="s">
        <v>108</v>
      </c>
      <c r="I65" s="2" t="s">
        <v>108</v>
      </c>
      <c r="J65" s="32" t="s">
        <v>390</v>
      </c>
      <c r="K65" s="32" t="s">
        <v>391</v>
      </c>
      <c r="L65" s="2" t="s">
        <v>116</v>
      </c>
      <c r="M65" s="2" t="str">
        <f>PROPER(Tabla15[[#This Row],[NOMBRES Y APELLIDOS]])</f>
        <v>Jacquelyn Estrada Tovar</v>
      </c>
      <c r="N65" s="2" t="str">
        <f>PROPER(Tabla15[[#This Row],[CARGO]])</f>
        <v>Trabajadora Social</v>
      </c>
    </row>
    <row r="66" spans="1:14">
      <c r="A66" s="45">
        <v>65</v>
      </c>
      <c r="B66" s="2">
        <v>77474428</v>
      </c>
      <c r="C66" s="2" t="s">
        <v>392</v>
      </c>
      <c r="D66" s="2" t="s">
        <v>393</v>
      </c>
      <c r="E66" s="2" t="s">
        <v>151</v>
      </c>
      <c r="F66" s="2" t="s">
        <v>107</v>
      </c>
      <c r="G66" s="2" t="s">
        <v>22</v>
      </c>
      <c r="H66" s="2" t="s">
        <v>152</v>
      </c>
      <c r="I66" s="2" t="s">
        <v>22</v>
      </c>
      <c r="J66" s="32" t="s">
        <v>394</v>
      </c>
      <c r="K66" s="32" t="s">
        <v>395</v>
      </c>
      <c r="L66" s="2" t="s">
        <v>103</v>
      </c>
      <c r="M66" s="2" t="str">
        <f>PROPER(Tabla15[[#This Row],[NOMBRES Y APELLIDOS]])</f>
        <v>Javier Mogollon Ramirez</v>
      </c>
      <c r="N66" s="2" t="str">
        <f>PROPER(Tabla15[[#This Row],[CARGO]])</f>
        <v>Ejecutivo B2B</v>
      </c>
    </row>
    <row r="67" spans="1:14">
      <c r="A67" s="45">
        <v>66</v>
      </c>
      <c r="B67" s="2">
        <v>40427269</v>
      </c>
      <c r="C67" s="2" t="s">
        <v>396</v>
      </c>
      <c r="D67" s="2" t="s">
        <v>397</v>
      </c>
      <c r="E67" s="2" t="s">
        <v>398</v>
      </c>
      <c r="F67" s="2" t="s">
        <v>107</v>
      </c>
      <c r="G67" s="2" t="s">
        <v>42</v>
      </c>
      <c r="H67" s="2" t="s">
        <v>108</v>
      </c>
      <c r="I67" s="2" t="s">
        <v>108</v>
      </c>
      <c r="J67" s="32" t="s">
        <v>399</v>
      </c>
      <c r="K67" s="32" t="s">
        <v>400</v>
      </c>
      <c r="L67" s="2" t="s">
        <v>116</v>
      </c>
      <c r="M67" s="2" t="str">
        <f>PROPER(Tabla15[[#This Row],[NOMBRES Y APELLIDOS]])</f>
        <v>Javier Carlos Suematzu Yagi</v>
      </c>
      <c r="N67" s="2" t="str">
        <f>PROPER(Tabla15[[#This Row],[CARGO]])</f>
        <v>Analista De Ti</v>
      </c>
    </row>
    <row r="68" spans="1:14">
      <c r="A68" s="45">
        <v>67</v>
      </c>
      <c r="B68" s="2">
        <v>7598213</v>
      </c>
      <c r="C68" s="2" t="s">
        <v>401</v>
      </c>
      <c r="D68" s="2" t="s">
        <v>402</v>
      </c>
      <c r="E68" s="2" t="s">
        <v>125</v>
      </c>
      <c r="F68" s="2" t="s">
        <v>107</v>
      </c>
      <c r="G68" s="2" t="s">
        <v>27</v>
      </c>
      <c r="H68" s="2" t="s">
        <v>126</v>
      </c>
      <c r="I68" s="2" t="s">
        <v>100</v>
      </c>
      <c r="J68" s="32" t="s">
        <v>403</v>
      </c>
      <c r="K68" s="32" t="s">
        <v>404</v>
      </c>
      <c r="L68" s="2" t="s">
        <v>116</v>
      </c>
      <c r="M68" s="2" t="str">
        <f>PROPER(Tabla15[[#This Row],[NOMBRES Y APELLIDOS]])</f>
        <v>Javier Roberto Zegarra Garibaldi</v>
      </c>
      <c r="N68" s="2" t="str">
        <f>PROPER(Tabla15[[#This Row],[CARGO]])</f>
        <v>Generador De Negocios</v>
      </c>
    </row>
    <row r="69" spans="1:14">
      <c r="A69" s="45">
        <v>68</v>
      </c>
      <c r="B69" s="2">
        <v>70513870</v>
      </c>
      <c r="C69" s="2" t="s">
        <v>152</v>
      </c>
      <c r="D69" s="2" t="s">
        <v>405</v>
      </c>
      <c r="E69" s="2" t="s">
        <v>406</v>
      </c>
      <c r="F69" s="2" t="s">
        <v>107</v>
      </c>
      <c r="G69" s="2" t="s">
        <v>22</v>
      </c>
      <c r="H69" s="2" t="s">
        <v>152</v>
      </c>
      <c r="I69" s="2" t="s">
        <v>100</v>
      </c>
      <c r="J69" s="32" t="s">
        <v>407</v>
      </c>
      <c r="K69" s="32" t="s">
        <v>408</v>
      </c>
      <c r="L69" s="2" t="s">
        <v>116</v>
      </c>
      <c r="M69" s="2" t="str">
        <f>PROPER(Tabla15[[#This Row],[NOMBRES Y APELLIDOS]])</f>
        <v>Beercely Jazmin Del R Mosquera Salazar</v>
      </c>
      <c r="N69" s="2" t="str">
        <f>PROPER(Tabla15[[#This Row],[CARGO]])</f>
        <v>Jefe De Canal Web</v>
      </c>
    </row>
    <row r="70" spans="1:14">
      <c r="A70" s="45">
        <v>69</v>
      </c>
      <c r="B70" s="2">
        <v>6806601</v>
      </c>
      <c r="C70" s="2" t="s">
        <v>409</v>
      </c>
      <c r="D70" s="2" t="s">
        <v>410</v>
      </c>
      <c r="E70" s="2" t="s">
        <v>411</v>
      </c>
      <c r="F70" s="2" t="s">
        <v>107</v>
      </c>
      <c r="G70" s="2" t="s">
        <v>142</v>
      </c>
      <c r="H70" s="2" t="s">
        <v>108</v>
      </c>
      <c r="I70" s="2" t="s">
        <v>108</v>
      </c>
      <c r="J70" s="32" t="s">
        <v>412</v>
      </c>
      <c r="K70" s="32" t="s">
        <v>413</v>
      </c>
      <c r="L70" s="2" t="s">
        <v>116</v>
      </c>
      <c r="M70" s="2" t="str">
        <f>PROPER(Tabla15[[#This Row],[NOMBRES Y APELLIDOS]])</f>
        <v>Jean Pierre Villagaray Montaldo</v>
      </c>
      <c r="N70" s="2" t="str">
        <f>PROPER(Tabla15[[#This Row],[CARGO]])</f>
        <v>Supervisor De Creditos Y Cobranzas</v>
      </c>
    </row>
    <row r="71" spans="1:14">
      <c r="A71" s="45">
        <v>70</v>
      </c>
      <c r="B71" s="2">
        <v>47145798</v>
      </c>
      <c r="C71" s="2" t="s">
        <v>414</v>
      </c>
      <c r="D71" s="2" t="s">
        <v>415</v>
      </c>
      <c r="E71" s="2" t="s">
        <v>125</v>
      </c>
      <c r="F71" s="2" t="s">
        <v>107</v>
      </c>
      <c r="G71" s="2" t="s">
        <v>27</v>
      </c>
      <c r="H71" s="2" t="s">
        <v>185</v>
      </c>
      <c r="I71" s="2" t="s">
        <v>100</v>
      </c>
      <c r="J71" s="32" t="s">
        <v>416</v>
      </c>
      <c r="K71" s="32" t="s">
        <v>417</v>
      </c>
      <c r="L71" s="2" t="s">
        <v>116</v>
      </c>
      <c r="M71" s="2" t="str">
        <f>PROPER(Tabla15[[#This Row],[NOMBRES Y APELLIDOS]])</f>
        <v>Jeimy Enrique Uriarte Palacios</v>
      </c>
      <c r="N71" s="2" t="str">
        <f>PROPER(Tabla15[[#This Row],[CARGO]])</f>
        <v>Generador De Negocios</v>
      </c>
    </row>
    <row r="72" spans="1:14">
      <c r="A72" s="45">
        <v>71</v>
      </c>
      <c r="B72" s="2">
        <v>8166003</v>
      </c>
      <c r="C72" s="2" t="s">
        <v>418</v>
      </c>
      <c r="D72" s="2" t="s">
        <v>419</v>
      </c>
      <c r="E72" s="2" t="s">
        <v>125</v>
      </c>
      <c r="F72" s="2" t="s">
        <v>107</v>
      </c>
      <c r="G72" s="2" t="s">
        <v>27</v>
      </c>
      <c r="H72" s="2" t="s">
        <v>217</v>
      </c>
      <c r="I72" s="2" t="s">
        <v>218</v>
      </c>
      <c r="J72" s="32" t="s">
        <v>420</v>
      </c>
      <c r="K72" s="32" t="s">
        <v>421</v>
      </c>
      <c r="L72" s="2" t="s">
        <v>116</v>
      </c>
      <c r="M72" s="2" t="str">
        <f>PROPER(Tabla15[[#This Row],[NOMBRES Y APELLIDOS]])</f>
        <v>Jim Derec Hurtado Leonardo</v>
      </c>
      <c r="N72" s="2" t="str">
        <f>PROPER(Tabla15[[#This Row],[CARGO]])</f>
        <v>Generador De Negocios</v>
      </c>
    </row>
    <row r="73" spans="1:14">
      <c r="A73" s="45">
        <v>72</v>
      </c>
      <c r="B73" s="2">
        <v>19098582</v>
      </c>
      <c r="C73" s="2" t="s">
        <v>422</v>
      </c>
      <c r="D73" s="2" t="s">
        <v>423</v>
      </c>
      <c r="E73" s="2" t="s">
        <v>125</v>
      </c>
      <c r="F73" s="2" t="s">
        <v>107</v>
      </c>
      <c r="G73" s="2" t="s">
        <v>27</v>
      </c>
      <c r="H73" s="2" t="s">
        <v>217</v>
      </c>
      <c r="I73" s="2" t="s">
        <v>218</v>
      </c>
      <c r="J73" s="32" t="s">
        <v>424</v>
      </c>
      <c r="K73" s="32" t="s">
        <v>425</v>
      </c>
      <c r="L73" s="2" t="s">
        <v>116</v>
      </c>
      <c r="M73" s="2" t="str">
        <f>PROPER(Tabla15[[#This Row],[NOMBRES Y APELLIDOS]])</f>
        <v>Jimmy Javier Flores Ibañez</v>
      </c>
      <c r="N73" s="2" t="str">
        <f>PROPER(Tabla15[[#This Row],[CARGO]])</f>
        <v>Generador De Negocios</v>
      </c>
    </row>
    <row r="74" spans="1:14">
      <c r="A74" s="45">
        <v>73</v>
      </c>
      <c r="B74" s="2">
        <v>41467941</v>
      </c>
      <c r="C74" s="2" t="s">
        <v>426</v>
      </c>
      <c r="D74" s="2" t="s">
        <v>427</v>
      </c>
      <c r="E74" s="2" t="s">
        <v>125</v>
      </c>
      <c r="F74" s="2" t="s">
        <v>107</v>
      </c>
      <c r="G74" s="2" t="s">
        <v>27</v>
      </c>
      <c r="H74" s="2" t="s">
        <v>177</v>
      </c>
      <c r="I74" s="2" t="s">
        <v>100</v>
      </c>
      <c r="J74" s="32" t="s">
        <v>428</v>
      </c>
      <c r="K74" s="32" t="s">
        <v>429</v>
      </c>
      <c r="L74" s="2" t="s">
        <v>116</v>
      </c>
      <c r="M74" s="2" t="str">
        <f>PROPER(Tabla15[[#This Row],[NOMBRES Y APELLIDOS]])</f>
        <v>Joel Francisco Gutierrez Gallegos</v>
      </c>
      <c r="N74" s="2" t="str">
        <f>PROPER(Tabla15[[#This Row],[CARGO]])</f>
        <v>Generador De Negocios</v>
      </c>
    </row>
    <row r="75" spans="1:14">
      <c r="A75" s="45">
        <v>74</v>
      </c>
      <c r="B75" s="2">
        <v>24965874</v>
      </c>
      <c r="C75" s="2" t="s">
        <v>430</v>
      </c>
      <c r="D75" s="2" t="s">
        <v>431</v>
      </c>
      <c r="E75" s="2" t="s">
        <v>125</v>
      </c>
      <c r="F75" s="2" t="s">
        <v>107</v>
      </c>
      <c r="G75" s="2" t="s">
        <v>27</v>
      </c>
      <c r="H75" s="2" t="s">
        <v>177</v>
      </c>
      <c r="I75" s="2" t="s">
        <v>100</v>
      </c>
      <c r="J75" s="32" t="s">
        <v>432</v>
      </c>
      <c r="K75" s="32" t="s">
        <v>433</v>
      </c>
      <c r="L75" s="2" t="s">
        <v>103</v>
      </c>
      <c r="M75" s="2" t="str">
        <f>PROPER(Tabla15[[#This Row],[NOMBRES Y APELLIDOS]])</f>
        <v>Joel Hermoza Paiva</v>
      </c>
      <c r="N75" s="2" t="str">
        <f>PROPER(Tabla15[[#This Row],[CARGO]])</f>
        <v>Generador De Negocios</v>
      </c>
    </row>
    <row r="76" spans="1:14">
      <c r="A76" s="45">
        <v>75</v>
      </c>
      <c r="B76" s="2">
        <v>71579852</v>
      </c>
      <c r="C76" s="2" t="s">
        <v>434</v>
      </c>
      <c r="D76" s="2" t="s">
        <v>435</v>
      </c>
      <c r="E76" s="2" t="s">
        <v>436</v>
      </c>
      <c r="F76" s="2" t="s">
        <v>107</v>
      </c>
      <c r="G76" s="2" t="s">
        <v>27</v>
      </c>
      <c r="H76" s="2" t="s">
        <v>108</v>
      </c>
      <c r="I76" s="2" t="s">
        <v>108</v>
      </c>
      <c r="J76" s="32" t="s">
        <v>437</v>
      </c>
      <c r="K76" s="32" t="s">
        <v>438</v>
      </c>
      <c r="L76" s="2" t="s">
        <v>103</v>
      </c>
      <c r="M76" s="2" t="str">
        <f>PROPER(Tabla15[[#This Row],[NOMBRES Y APELLIDOS]])</f>
        <v>Jonathan Alexis Atoche Silva</v>
      </c>
      <c r="N76" s="2" t="str">
        <f>PROPER(Tabla15[[#This Row],[CARGO]])</f>
        <v>Practicante Profesional De Gestion Comercial</v>
      </c>
    </row>
    <row r="77" spans="1:14">
      <c r="A77" s="45">
        <v>76</v>
      </c>
      <c r="B77" s="25" t="s">
        <v>439</v>
      </c>
      <c r="C77" s="2" t="s">
        <v>440</v>
      </c>
      <c r="D77" s="2" t="s">
        <v>441</v>
      </c>
      <c r="E77" s="2" t="s">
        <v>442</v>
      </c>
      <c r="F77" s="2" t="s">
        <v>107</v>
      </c>
      <c r="G77" s="2" t="s">
        <v>39</v>
      </c>
      <c r="H77" s="2" t="s">
        <v>108</v>
      </c>
      <c r="I77" s="2" t="s">
        <v>108</v>
      </c>
      <c r="J77" s="32" t="s">
        <v>443</v>
      </c>
      <c r="K77" s="32" t="s">
        <v>444</v>
      </c>
      <c r="L77" s="2" t="s">
        <v>116</v>
      </c>
      <c r="M77" s="2" t="str">
        <f>PROPER(Tabla15[[#This Row],[NOMBRES Y APELLIDOS]])</f>
        <v>Jonathan Alexis Vaccaro Silva</v>
      </c>
      <c r="N77" s="2" t="str">
        <f>PROPER(Tabla15[[#This Row],[CARGO]])</f>
        <v>Jefe Catalogo Managers</v>
      </c>
    </row>
    <row r="78" spans="1:14">
      <c r="A78" s="45">
        <v>77</v>
      </c>
      <c r="B78" s="2">
        <v>45340836</v>
      </c>
      <c r="C78" s="2" t="s">
        <v>445</v>
      </c>
      <c r="D78" s="2" t="s">
        <v>446</v>
      </c>
      <c r="E78" s="2" t="s">
        <v>125</v>
      </c>
      <c r="F78" s="2" t="s">
        <v>107</v>
      </c>
      <c r="G78" s="2" t="s">
        <v>27</v>
      </c>
      <c r="H78" s="2" t="s">
        <v>177</v>
      </c>
      <c r="I78" s="2" t="s">
        <v>100</v>
      </c>
      <c r="J78" s="32" t="s">
        <v>447</v>
      </c>
      <c r="K78" s="32" t="s">
        <v>448</v>
      </c>
      <c r="L78" s="2" t="s">
        <v>116</v>
      </c>
      <c r="M78" s="2" t="str">
        <f>PROPER(Tabla15[[#This Row],[NOMBRES Y APELLIDOS]])</f>
        <v>Jorge Alberto Carrera Cervantes</v>
      </c>
      <c r="N78" s="2" t="str">
        <f>PROPER(Tabla15[[#This Row],[CARGO]])</f>
        <v>Generador De Negocios</v>
      </c>
    </row>
    <row r="79" spans="1:14">
      <c r="A79" s="45">
        <v>78</v>
      </c>
      <c r="B79" s="2">
        <v>48044145</v>
      </c>
      <c r="C79" s="2" t="s">
        <v>449</v>
      </c>
      <c r="D79" s="2" t="s">
        <v>450</v>
      </c>
      <c r="E79" s="2" t="s">
        <v>451</v>
      </c>
      <c r="F79" s="2" t="s">
        <v>107</v>
      </c>
      <c r="G79" s="2" t="s">
        <v>25</v>
      </c>
      <c r="H79" s="2" t="s">
        <v>108</v>
      </c>
      <c r="I79" s="2" t="s">
        <v>108</v>
      </c>
      <c r="J79" s="32" t="s">
        <v>452</v>
      </c>
      <c r="K79" s="32" t="s">
        <v>453</v>
      </c>
      <c r="L79" s="2" t="s">
        <v>103</v>
      </c>
      <c r="M79" s="2" t="str">
        <f>PROPER(Tabla15[[#This Row],[NOMBRES Y APELLIDOS]])</f>
        <v>Jorge Luis Minaya Campusano</v>
      </c>
      <c r="N79" s="2" t="str">
        <f>PROPER(Tabla15[[#This Row],[CARGO]])</f>
        <v>Gerente De Logística</v>
      </c>
    </row>
    <row r="80" spans="1:14">
      <c r="A80" s="45">
        <v>79</v>
      </c>
      <c r="B80" s="2">
        <v>10221467</v>
      </c>
      <c r="C80" s="2" t="s">
        <v>454</v>
      </c>
      <c r="D80" s="2" t="s">
        <v>455</v>
      </c>
      <c r="E80" s="2" t="s">
        <v>125</v>
      </c>
      <c r="F80" s="2" t="s">
        <v>107</v>
      </c>
      <c r="G80" s="2" t="s">
        <v>27</v>
      </c>
      <c r="H80" s="2" t="s">
        <v>217</v>
      </c>
      <c r="I80" s="2" t="s">
        <v>218</v>
      </c>
      <c r="J80" s="32" t="s">
        <v>456</v>
      </c>
      <c r="K80" s="32" t="s">
        <v>457</v>
      </c>
      <c r="L80" s="2" t="s">
        <v>116</v>
      </c>
      <c r="M80" s="2" t="str">
        <f>PROPER(Tabla15[[#This Row],[NOMBRES Y APELLIDOS]])</f>
        <v>Jorge Alberto Tenorio Campos</v>
      </c>
      <c r="N80" s="2" t="str">
        <f>PROPER(Tabla15[[#This Row],[CARGO]])</f>
        <v>Generador De Negocios</v>
      </c>
    </row>
    <row r="81" spans="1:14">
      <c r="A81" s="45">
        <v>80</v>
      </c>
      <c r="B81" s="2">
        <v>47614500</v>
      </c>
      <c r="C81" s="2" t="s">
        <v>458</v>
      </c>
      <c r="D81" s="2" t="s">
        <v>459</v>
      </c>
      <c r="E81" s="2" t="s">
        <v>151</v>
      </c>
      <c r="F81" s="2" t="s">
        <v>107</v>
      </c>
      <c r="G81" s="2" t="s">
        <v>22</v>
      </c>
      <c r="H81" s="2" t="s">
        <v>152</v>
      </c>
      <c r="I81" s="2" t="s">
        <v>22</v>
      </c>
      <c r="J81" s="32" t="s">
        <v>460</v>
      </c>
      <c r="K81" s="32" t="s">
        <v>461</v>
      </c>
      <c r="L81" s="2" t="s">
        <v>103</v>
      </c>
      <c r="M81" s="2" t="str">
        <f>PROPER(Tabla15[[#This Row],[NOMBRES Y APELLIDOS]])</f>
        <v>Jorge Luis Vila Baltazar</v>
      </c>
      <c r="N81" s="2" t="str">
        <f>PROPER(Tabla15[[#This Row],[CARGO]])</f>
        <v>Ejecutivo B2B</v>
      </c>
    </row>
    <row r="82" spans="1:14">
      <c r="A82" s="45">
        <v>81</v>
      </c>
      <c r="B82" s="2">
        <v>41793237</v>
      </c>
      <c r="C82" s="2" t="s">
        <v>462</v>
      </c>
      <c r="D82" s="2" t="s">
        <v>463</v>
      </c>
      <c r="E82" s="2" t="s">
        <v>125</v>
      </c>
      <c r="F82" s="2" t="s">
        <v>107</v>
      </c>
      <c r="G82" s="2" t="s">
        <v>27</v>
      </c>
      <c r="H82" s="2" t="s">
        <v>185</v>
      </c>
      <c r="I82" s="2" t="s">
        <v>100</v>
      </c>
      <c r="J82" s="32" t="s">
        <v>464</v>
      </c>
      <c r="K82" s="32" t="s">
        <v>465</v>
      </c>
      <c r="L82" s="2" t="s">
        <v>103</v>
      </c>
      <c r="M82" s="2" t="str">
        <f>PROPER(Tabla15[[#This Row],[NOMBRES Y APELLIDOS]])</f>
        <v>Jose Luis Castillo Lopez</v>
      </c>
      <c r="N82" s="2" t="str">
        <f>PROPER(Tabla15[[#This Row],[CARGO]])</f>
        <v>Generador De Negocios</v>
      </c>
    </row>
    <row r="83" spans="1:14">
      <c r="A83" s="45">
        <v>82</v>
      </c>
      <c r="B83" s="2">
        <v>46139602</v>
      </c>
      <c r="C83" s="2" t="s">
        <v>466</v>
      </c>
      <c r="D83" s="2" t="s">
        <v>467</v>
      </c>
      <c r="E83" s="2" t="s">
        <v>468</v>
      </c>
      <c r="F83" s="2" t="s">
        <v>107</v>
      </c>
      <c r="G83" s="2" t="s">
        <v>30</v>
      </c>
      <c r="H83" s="2" t="s">
        <v>108</v>
      </c>
      <c r="I83" s="2" t="s">
        <v>108</v>
      </c>
      <c r="J83" s="32" t="s">
        <v>469</v>
      </c>
      <c r="K83" s="32" t="s">
        <v>470</v>
      </c>
      <c r="L83" s="2" t="s">
        <v>103</v>
      </c>
      <c r="M83" s="2" t="str">
        <f>PROPER(Tabla15[[#This Row],[NOMBRES Y APELLIDOS]])</f>
        <v>Jose Ruben Cueva Lopez</v>
      </c>
      <c r="N83" s="2" t="str">
        <f>PROPER(Tabla15[[#This Row],[CARGO]])</f>
        <v>Supervisor De Comercio Exterior</v>
      </c>
    </row>
    <row r="84" spans="1:14">
      <c r="A84" s="45">
        <v>83</v>
      </c>
      <c r="B84" s="2">
        <v>74707537</v>
      </c>
      <c r="C84" s="2" t="s">
        <v>471</v>
      </c>
      <c r="D84" s="2" t="s">
        <v>472</v>
      </c>
      <c r="E84" s="2" t="s">
        <v>473</v>
      </c>
      <c r="F84" s="2" t="s">
        <v>98</v>
      </c>
      <c r="G84" s="2" t="s">
        <v>22</v>
      </c>
      <c r="H84" s="2" t="s">
        <v>152</v>
      </c>
      <c r="I84" s="2" t="s">
        <v>22</v>
      </c>
      <c r="J84" s="43" t="s">
        <v>474</v>
      </c>
      <c r="K84" s="43" t="s">
        <v>475</v>
      </c>
      <c r="L84" s="2" t="s">
        <v>122</v>
      </c>
      <c r="M84" s="2" t="str">
        <f>PROPER(Tabla15[[#This Row],[NOMBRES Y APELLIDOS]])</f>
        <v>José Ricardo Fernandez Piña</v>
      </c>
      <c r="N84" s="2" t="str">
        <f>PROPER(Tabla15[[#This Row],[CARGO]])</f>
        <v>Ejecutivo B2B - Lima</v>
      </c>
    </row>
    <row r="85" spans="1:14">
      <c r="A85" s="45">
        <v>84</v>
      </c>
      <c r="B85" s="2">
        <v>8472017</v>
      </c>
      <c r="C85" s="2" t="s">
        <v>476</v>
      </c>
      <c r="D85" s="2" t="s">
        <v>477</v>
      </c>
      <c r="E85" s="2" t="s">
        <v>125</v>
      </c>
      <c r="F85" s="2" t="s">
        <v>107</v>
      </c>
      <c r="G85" s="2" t="s">
        <v>27</v>
      </c>
      <c r="H85" s="2" t="s">
        <v>217</v>
      </c>
      <c r="I85" s="2" t="s">
        <v>218</v>
      </c>
      <c r="J85" s="32" t="s">
        <v>478</v>
      </c>
      <c r="K85" s="32" t="s">
        <v>479</v>
      </c>
      <c r="L85" s="2" t="s">
        <v>116</v>
      </c>
      <c r="M85" s="2" t="str">
        <f>PROPER(Tabla15[[#This Row],[NOMBRES Y APELLIDOS]])</f>
        <v>Jose Wilmer Perez Giron</v>
      </c>
      <c r="N85" s="2" t="str">
        <f>PROPER(Tabla15[[#This Row],[CARGO]])</f>
        <v>Generador De Negocios</v>
      </c>
    </row>
    <row r="86" spans="1:14">
      <c r="A86" s="45">
        <v>85</v>
      </c>
      <c r="B86" s="2">
        <v>81178656</v>
      </c>
      <c r="C86" s="2" t="s">
        <v>480</v>
      </c>
      <c r="D86" s="2" t="s">
        <v>481</v>
      </c>
      <c r="E86" s="2" t="s">
        <v>482</v>
      </c>
      <c r="F86" s="2" t="s">
        <v>107</v>
      </c>
      <c r="G86" s="2" t="s">
        <v>27</v>
      </c>
      <c r="H86" s="2" t="s">
        <v>108</v>
      </c>
      <c r="I86" s="2" t="s">
        <v>108</v>
      </c>
      <c r="J86" s="32" t="s">
        <v>483</v>
      </c>
      <c r="K86" s="32" t="s">
        <v>484</v>
      </c>
      <c r="L86" s="2" t="s">
        <v>103</v>
      </c>
      <c r="M86" s="2" t="str">
        <f>PROPER(Tabla15[[#This Row],[NOMBRES Y APELLIDOS]])</f>
        <v>Joseph Adrian Ruiz Alzamora</v>
      </c>
      <c r="N86" s="2" t="str">
        <f>PROPER(Tabla15[[#This Row],[CARGO]])</f>
        <v>Practicante Trainee</v>
      </c>
    </row>
    <row r="87" spans="1:14">
      <c r="A87" s="45">
        <v>86</v>
      </c>
      <c r="B87" s="2">
        <v>7429231</v>
      </c>
      <c r="C87" s="2" t="s">
        <v>485</v>
      </c>
      <c r="D87" s="2" t="s">
        <v>486</v>
      </c>
      <c r="E87" s="2" t="s">
        <v>125</v>
      </c>
      <c r="F87" s="2" t="s">
        <v>107</v>
      </c>
      <c r="G87" s="2" t="s">
        <v>27</v>
      </c>
      <c r="H87" s="2" t="s">
        <v>217</v>
      </c>
      <c r="I87" s="2" t="s">
        <v>218</v>
      </c>
      <c r="J87" s="32" t="s">
        <v>487</v>
      </c>
      <c r="K87" s="32" t="s">
        <v>488</v>
      </c>
      <c r="L87" s="2" t="s">
        <v>116</v>
      </c>
      <c r="M87" s="2" t="str">
        <f>PROPER(Tabla15[[#This Row],[NOMBRES Y APELLIDOS]])</f>
        <v>Juan Manuel Botton Reyna</v>
      </c>
      <c r="N87" s="2" t="str">
        <f>PROPER(Tabla15[[#This Row],[CARGO]])</f>
        <v>Generador De Negocios</v>
      </c>
    </row>
    <row r="88" spans="1:14">
      <c r="A88" s="45">
        <v>87</v>
      </c>
      <c r="B88" s="2">
        <v>71638347</v>
      </c>
      <c r="C88" s="2" t="s">
        <v>489</v>
      </c>
      <c r="D88" s="2" t="s">
        <v>490</v>
      </c>
      <c r="E88" s="2" t="s">
        <v>491</v>
      </c>
      <c r="F88" s="2" t="s">
        <v>107</v>
      </c>
      <c r="G88" s="2" t="s">
        <v>25</v>
      </c>
      <c r="H88" s="2" t="s">
        <v>108</v>
      </c>
      <c r="I88" s="2" t="s">
        <v>108</v>
      </c>
      <c r="J88" s="32" t="s">
        <v>492</v>
      </c>
      <c r="K88" s="32" t="s">
        <v>493</v>
      </c>
      <c r="L88" s="2" t="s">
        <v>103</v>
      </c>
      <c r="M88" s="2" t="str">
        <f>PROPER(Tabla15[[#This Row],[NOMBRES Y APELLIDOS]])</f>
        <v>Juan Manuel Cavero Vela</v>
      </c>
      <c r="N88" s="2" t="str">
        <f>PROPER(Tabla15[[#This Row],[CARGO]])</f>
        <v>Asistente De Despacho Y Facturacion</v>
      </c>
    </row>
    <row r="89" spans="1:14">
      <c r="A89" s="45">
        <v>88</v>
      </c>
      <c r="B89" s="2">
        <v>43270952</v>
      </c>
      <c r="C89" s="2" t="s">
        <v>494</v>
      </c>
      <c r="D89" s="2" t="s">
        <v>495</v>
      </c>
      <c r="E89" s="2" t="s">
        <v>125</v>
      </c>
      <c r="F89" s="2" t="s">
        <v>98</v>
      </c>
      <c r="G89" s="2" t="s">
        <v>27</v>
      </c>
      <c r="H89" s="2" t="s">
        <v>277</v>
      </c>
      <c r="I89" s="2" t="s">
        <v>100</v>
      </c>
      <c r="J89" s="32" t="s">
        <v>496</v>
      </c>
      <c r="K89" s="32" t="s">
        <v>497</v>
      </c>
      <c r="L89" s="2" t="s">
        <v>103</v>
      </c>
      <c r="M89" s="2" t="str">
        <f>PROPER(Tabla15[[#This Row],[NOMBRES Y APELLIDOS]])</f>
        <v>Juan Victor Nakazaki Zapata</v>
      </c>
      <c r="N89" s="2" t="str">
        <f>PROPER(Tabla15[[#This Row],[CARGO]])</f>
        <v>Generador De Negocios</v>
      </c>
    </row>
    <row r="90" spans="1:14">
      <c r="A90" s="45">
        <v>89</v>
      </c>
      <c r="B90" s="2">
        <v>6773170</v>
      </c>
      <c r="C90" s="2" t="s">
        <v>498</v>
      </c>
      <c r="D90" s="2" t="s">
        <v>499</v>
      </c>
      <c r="E90" s="2" t="s">
        <v>125</v>
      </c>
      <c r="F90" s="2" t="s">
        <v>107</v>
      </c>
      <c r="G90" s="2" t="s">
        <v>27</v>
      </c>
      <c r="H90" s="2" t="s">
        <v>232</v>
      </c>
      <c r="I90" s="2" t="s">
        <v>100</v>
      </c>
      <c r="J90" s="32" t="s">
        <v>500</v>
      </c>
      <c r="K90" s="32" t="s">
        <v>501</v>
      </c>
      <c r="L90" s="2" t="s">
        <v>103</v>
      </c>
      <c r="M90" s="2" t="str">
        <f>PROPER(Tabla15[[#This Row],[NOMBRES Y APELLIDOS]])</f>
        <v>Julio Cesar Ulloa Galindo</v>
      </c>
      <c r="N90" s="2" t="str">
        <f>PROPER(Tabla15[[#This Row],[CARGO]])</f>
        <v>Generador De Negocios</v>
      </c>
    </row>
    <row r="91" spans="1:14">
      <c r="A91" s="45">
        <v>90</v>
      </c>
      <c r="B91" s="2">
        <v>48900698</v>
      </c>
      <c r="C91" s="2" t="s">
        <v>502</v>
      </c>
      <c r="D91" s="2" t="s">
        <v>503</v>
      </c>
      <c r="E91" s="2" t="s">
        <v>504</v>
      </c>
      <c r="F91" s="2" t="s">
        <v>98</v>
      </c>
      <c r="G91" s="2" t="s">
        <v>25</v>
      </c>
      <c r="H91" s="2" t="s">
        <v>108</v>
      </c>
      <c r="I91" s="2" t="s">
        <v>108</v>
      </c>
      <c r="J91" s="32" t="s">
        <v>108</v>
      </c>
      <c r="K91" s="32" t="s">
        <v>505</v>
      </c>
      <c r="L91" s="2" t="s">
        <v>103</v>
      </c>
      <c r="M91" s="2" t="str">
        <f>PROPER(Tabla15[[#This Row],[NOMBRES Y APELLIDOS]])</f>
        <v>Junior Vicente Valencia Bazan</v>
      </c>
      <c r="N91" s="2" t="str">
        <f>PROPER(Tabla15[[#This Row],[CARGO]])</f>
        <v>Operario De Servicios Generales</v>
      </c>
    </row>
    <row r="92" spans="1:14">
      <c r="A92" s="45">
        <v>91</v>
      </c>
      <c r="B92" s="2">
        <v>72871052</v>
      </c>
      <c r="C92" s="2" t="s">
        <v>506</v>
      </c>
      <c r="D92" s="2" t="s">
        <v>507</v>
      </c>
      <c r="E92" s="2" t="s">
        <v>106</v>
      </c>
      <c r="F92" s="2" t="s">
        <v>107</v>
      </c>
      <c r="G92" s="2" t="s">
        <v>25</v>
      </c>
      <c r="H92" s="2" t="s">
        <v>108</v>
      </c>
      <c r="I92" s="2" t="s">
        <v>108</v>
      </c>
      <c r="J92" s="43" t="s">
        <v>508</v>
      </c>
      <c r="K92" s="32" t="s">
        <v>509</v>
      </c>
      <c r="L92" s="2" t="s">
        <v>116</v>
      </c>
      <c r="M92" s="2" t="str">
        <f>PROPER(Tabla15[[#This Row],[NOMBRES Y APELLIDOS]])</f>
        <v>Karla Ysabel Chayguaque Chirinos</v>
      </c>
      <c r="N92" s="2" t="str">
        <f>PROPER(Tabla15[[#This Row],[CARGO]])</f>
        <v>Encargado Operativo</v>
      </c>
    </row>
    <row r="93" spans="1:14">
      <c r="A93" s="45">
        <v>92</v>
      </c>
      <c r="B93" s="2">
        <v>47246317</v>
      </c>
      <c r="C93" s="2" t="s">
        <v>510</v>
      </c>
      <c r="D93" s="2" t="s">
        <v>511</v>
      </c>
      <c r="E93" s="2" t="s">
        <v>512</v>
      </c>
      <c r="F93" s="2" t="s">
        <v>107</v>
      </c>
      <c r="G93" s="2" t="s">
        <v>27</v>
      </c>
      <c r="H93" s="2" t="s">
        <v>108</v>
      </c>
      <c r="I93" s="2" t="s">
        <v>108</v>
      </c>
      <c r="J93" s="32" t="s">
        <v>513</v>
      </c>
      <c r="K93" s="32" t="s">
        <v>514</v>
      </c>
      <c r="L93" s="2" t="s">
        <v>116</v>
      </c>
      <c r="M93" s="2" t="str">
        <f>PROPER(Tabla15[[#This Row],[NOMBRES Y APELLIDOS]])</f>
        <v>Katherin Esther Rojas Anampa</v>
      </c>
      <c r="N93" s="2" t="str">
        <f>PROPER(Tabla15[[#This Row],[CARGO]])</f>
        <v>Asistente De Atencion Al Cliente Y Recep</v>
      </c>
    </row>
    <row r="94" spans="1:14">
      <c r="A94" s="45">
        <v>93</v>
      </c>
      <c r="B94" s="2">
        <v>48928780</v>
      </c>
      <c r="C94" s="2" t="s">
        <v>515</v>
      </c>
      <c r="D94" s="2" t="s">
        <v>516</v>
      </c>
      <c r="E94" s="2" t="s">
        <v>125</v>
      </c>
      <c r="F94" s="2" t="s">
        <v>107</v>
      </c>
      <c r="G94" s="2" t="s">
        <v>27</v>
      </c>
      <c r="H94" s="2" t="s">
        <v>185</v>
      </c>
      <c r="I94" s="2" t="s">
        <v>100</v>
      </c>
      <c r="J94" s="32" t="s">
        <v>517</v>
      </c>
      <c r="K94" s="32" t="s">
        <v>518</v>
      </c>
      <c r="L94" s="2" t="s">
        <v>116</v>
      </c>
      <c r="M94" s="2" t="str">
        <f>PROPER(Tabla15[[#This Row],[NOMBRES Y APELLIDOS]])</f>
        <v>Katherinne Yanetsi Perez Castillo</v>
      </c>
      <c r="N94" s="2" t="str">
        <f>PROPER(Tabla15[[#This Row],[CARGO]])</f>
        <v>Generador De Negocios</v>
      </c>
    </row>
    <row r="95" spans="1:14">
      <c r="A95" s="45">
        <v>94</v>
      </c>
      <c r="B95" s="2">
        <v>46537550</v>
      </c>
      <c r="C95" s="2" t="s">
        <v>519</v>
      </c>
      <c r="D95" s="2" t="s">
        <v>520</v>
      </c>
      <c r="E95" s="2" t="s">
        <v>521</v>
      </c>
      <c r="F95" s="2" t="s">
        <v>107</v>
      </c>
      <c r="G95" s="2" t="s">
        <v>22</v>
      </c>
      <c r="H95" s="2" t="s">
        <v>152</v>
      </c>
      <c r="I95" s="2" t="s">
        <v>22</v>
      </c>
      <c r="J95" s="32" t="s">
        <v>522</v>
      </c>
      <c r="K95" s="32" t="s">
        <v>523</v>
      </c>
      <c r="L95" s="2" t="s">
        <v>116</v>
      </c>
      <c r="M95" s="2" t="str">
        <f>PROPER(Tabla15[[#This Row],[NOMBRES Y APELLIDOS]])</f>
        <v>Katia Reyna Vasquez</v>
      </c>
      <c r="N95" s="2" t="str">
        <f>PROPER(Tabla15[[#This Row],[CARGO]])</f>
        <v xml:space="preserve">Ejecutivo B2B </v>
      </c>
    </row>
    <row r="96" spans="1:14">
      <c r="A96" s="45">
        <v>95</v>
      </c>
      <c r="B96" s="2">
        <v>45428802</v>
      </c>
      <c r="C96" s="2" t="s">
        <v>524</v>
      </c>
      <c r="D96" s="2" t="s">
        <v>525</v>
      </c>
      <c r="E96" s="2" t="s">
        <v>119</v>
      </c>
      <c r="F96" s="2" t="s">
        <v>107</v>
      </c>
      <c r="G96" s="2" t="s">
        <v>28</v>
      </c>
      <c r="H96" s="2" t="s">
        <v>108</v>
      </c>
      <c r="I96" s="2" t="s">
        <v>108</v>
      </c>
      <c r="J96" s="32" t="s">
        <v>526</v>
      </c>
      <c r="K96" s="32" t="s">
        <v>527</v>
      </c>
      <c r="L96" s="2" t="s">
        <v>116</v>
      </c>
      <c r="M96" s="2" t="str">
        <f>PROPER(Tabla15[[#This Row],[NOMBRES Y APELLIDOS]])</f>
        <v>Kimberly Andrea Del Bueno Eche</v>
      </c>
      <c r="N96" s="2" t="str">
        <f>PROPER(Tabla15[[#This Row],[CARGO]])</f>
        <v>Asistente De Contabilidad</v>
      </c>
    </row>
    <row r="97" spans="1:14">
      <c r="A97" s="45">
        <v>96</v>
      </c>
      <c r="B97" s="2">
        <v>41242952</v>
      </c>
      <c r="C97" s="2" t="s">
        <v>528</v>
      </c>
      <c r="D97" s="2" t="s">
        <v>529</v>
      </c>
      <c r="E97" s="2" t="s">
        <v>97</v>
      </c>
      <c r="F97" s="2" t="s">
        <v>107</v>
      </c>
      <c r="G97" s="2" t="s">
        <v>24</v>
      </c>
      <c r="H97" s="2" t="s">
        <v>99</v>
      </c>
      <c r="I97" s="2" t="s">
        <v>218</v>
      </c>
      <c r="J97" s="32" t="s">
        <v>530</v>
      </c>
      <c r="K97" s="32" t="s">
        <v>531</v>
      </c>
      <c r="L97" s="2" t="s">
        <v>103</v>
      </c>
      <c r="M97" s="2" t="str">
        <f>PROPER(Tabla15[[#This Row],[NOMBRES Y APELLIDOS]])</f>
        <v>Lourdes Ofelia Saer Rios</v>
      </c>
      <c r="N97" s="2" t="str">
        <f>PROPER(Tabla15[[#This Row],[CARGO]])</f>
        <v>Ejecutivo De Ventas De Call Center</v>
      </c>
    </row>
    <row r="98" spans="1:14">
      <c r="A98" s="45">
        <v>97</v>
      </c>
      <c r="B98" s="2">
        <v>46001619</v>
      </c>
      <c r="C98" s="2" t="s">
        <v>532</v>
      </c>
      <c r="D98" s="2" t="s">
        <v>533</v>
      </c>
      <c r="E98" s="2" t="s">
        <v>534</v>
      </c>
      <c r="F98" s="2" t="s">
        <v>107</v>
      </c>
      <c r="G98" s="2" t="s">
        <v>265</v>
      </c>
      <c r="H98" s="2" t="s">
        <v>108</v>
      </c>
      <c r="I98" s="2" t="s">
        <v>108</v>
      </c>
      <c r="J98" s="32" t="s">
        <v>535</v>
      </c>
      <c r="K98" s="32" t="s">
        <v>536</v>
      </c>
      <c r="L98" s="2" t="s">
        <v>116</v>
      </c>
      <c r="M98" s="2" t="str">
        <f>PROPER(Tabla15[[#This Row],[NOMBRES Y APELLIDOS]])</f>
        <v>Luis Enrique Estrella Castillo</v>
      </c>
      <c r="N98" s="2" t="str">
        <f>PROPER(Tabla15[[#This Row],[CARGO]])</f>
        <v>Product Manager</v>
      </c>
    </row>
    <row r="99" spans="1:14">
      <c r="A99" s="45">
        <v>98</v>
      </c>
      <c r="B99" s="2">
        <v>46427052</v>
      </c>
      <c r="C99" s="2" t="s">
        <v>537</v>
      </c>
      <c r="D99" s="2" t="s">
        <v>538</v>
      </c>
      <c r="E99" s="2" t="s">
        <v>125</v>
      </c>
      <c r="F99" s="2" t="s">
        <v>98</v>
      </c>
      <c r="G99" s="2" t="s">
        <v>27</v>
      </c>
      <c r="H99" s="2" t="s">
        <v>126</v>
      </c>
      <c r="I99" s="2" t="s">
        <v>100</v>
      </c>
      <c r="J99" s="32" t="s">
        <v>539</v>
      </c>
      <c r="K99" s="32" t="s">
        <v>540</v>
      </c>
      <c r="L99" s="2" t="s">
        <v>108</v>
      </c>
      <c r="M99" s="2" t="str">
        <f>PROPER(Tabla15[[#This Row],[NOMBRES Y APELLIDOS]])</f>
        <v>Luis David Neyra Reto</v>
      </c>
      <c r="N99" s="2" t="str">
        <f>PROPER(Tabla15[[#This Row],[CARGO]])</f>
        <v>Generador De Negocios</v>
      </c>
    </row>
    <row r="100" spans="1:14">
      <c r="A100" s="45">
        <v>99</v>
      </c>
      <c r="B100" s="2">
        <v>73708532</v>
      </c>
      <c r="C100" s="2" t="s">
        <v>541</v>
      </c>
      <c r="D100" s="2" t="s">
        <v>542</v>
      </c>
      <c r="E100" s="2" t="s">
        <v>358</v>
      </c>
      <c r="F100" s="2" t="s">
        <v>107</v>
      </c>
      <c r="G100" s="2" t="s">
        <v>142</v>
      </c>
      <c r="H100" s="2" t="s">
        <v>108</v>
      </c>
      <c r="I100" s="2" t="s">
        <v>108</v>
      </c>
      <c r="J100" s="32" t="s">
        <v>543</v>
      </c>
      <c r="K100" s="32" t="s">
        <v>544</v>
      </c>
      <c r="L100" s="2" t="s">
        <v>116</v>
      </c>
      <c r="M100" s="2" t="str">
        <f>PROPER(Tabla15[[#This Row],[NOMBRES Y APELLIDOS]])</f>
        <v>Manuel Flores Nuñez</v>
      </c>
      <c r="N100" s="2" t="str">
        <f>PROPER(Tabla15[[#This Row],[CARGO]])</f>
        <v>Gestor De Cobranzas</v>
      </c>
    </row>
    <row r="101" spans="1:14">
      <c r="A101" s="45">
        <v>100</v>
      </c>
      <c r="B101" s="2">
        <v>43974553</v>
      </c>
      <c r="C101" s="2" t="s">
        <v>182</v>
      </c>
      <c r="D101" s="2" t="s">
        <v>545</v>
      </c>
      <c r="E101" s="2" t="s">
        <v>546</v>
      </c>
      <c r="F101" s="2" t="s">
        <v>107</v>
      </c>
      <c r="G101" s="2" t="s">
        <v>27</v>
      </c>
      <c r="H101" s="2" t="s">
        <v>217</v>
      </c>
      <c r="I101" s="2" t="s">
        <v>100</v>
      </c>
      <c r="J101" s="32" t="s">
        <v>547</v>
      </c>
      <c r="K101" s="32" t="s">
        <v>548</v>
      </c>
      <c r="L101" s="2" t="s">
        <v>103</v>
      </c>
      <c r="M101" s="2" t="str">
        <f>PROPER(Tabla15[[#This Row],[NOMBRES Y APELLIDOS]])</f>
        <v>Manuel Antonio Zavaleta Vargas</v>
      </c>
      <c r="N101" s="2" t="str">
        <f>PROPER(Tabla15[[#This Row],[CARGO]])</f>
        <v>Gerente De Ventas Y Desarrollo De Negocios</v>
      </c>
    </row>
    <row r="102" spans="1:14">
      <c r="A102" s="45">
        <v>101</v>
      </c>
      <c r="B102" s="2">
        <v>46636020</v>
      </c>
      <c r="C102" s="2" t="s">
        <v>549</v>
      </c>
      <c r="D102" s="2" t="s">
        <v>550</v>
      </c>
      <c r="E102" s="2" t="s">
        <v>151</v>
      </c>
      <c r="F102" s="2" t="s">
        <v>98</v>
      </c>
      <c r="G102" s="2" t="s">
        <v>22</v>
      </c>
      <c r="H102" s="2" t="s">
        <v>152</v>
      </c>
      <c r="I102" s="2" t="s">
        <v>22</v>
      </c>
      <c r="J102" s="32" t="s">
        <v>551</v>
      </c>
      <c r="K102" s="32" t="s">
        <v>552</v>
      </c>
      <c r="L102" s="2" t="s">
        <v>103</v>
      </c>
      <c r="M102" s="2" t="str">
        <f>PROPER(Tabla15[[#This Row],[NOMBRES Y APELLIDOS]])</f>
        <v>Marco Antonio Amoretti Aybar</v>
      </c>
      <c r="N102" s="2" t="str">
        <f>PROPER(Tabla15[[#This Row],[CARGO]])</f>
        <v>Ejecutivo B2B</v>
      </c>
    </row>
    <row r="103" spans="1:14">
      <c r="A103" s="45">
        <v>102</v>
      </c>
      <c r="B103" s="2">
        <v>43971969</v>
      </c>
      <c r="C103" s="2" t="s">
        <v>553</v>
      </c>
      <c r="D103" s="2" t="s">
        <v>554</v>
      </c>
      <c r="E103" s="2" t="s">
        <v>125</v>
      </c>
      <c r="F103" s="2" t="s">
        <v>107</v>
      </c>
      <c r="G103" s="2" t="s">
        <v>27</v>
      </c>
      <c r="H103" s="2" t="s">
        <v>277</v>
      </c>
      <c r="I103" s="2" t="s">
        <v>100</v>
      </c>
      <c r="J103" s="32" t="s">
        <v>555</v>
      </c>
      <c r="K103" s="32" t="s">
        <v>556</v>
      </c>
      <c r="L103" s="2" t="s">
        <v>103</v>
      </c>
      <c r="M103" s="2" t="str">
        <f>PROPER(Tabla15[[#This Row],[NOMBRES Y APELLIDOS]])</f>
        <v>Jonathan Marco Chavez Lopez</v>
      </c>
      <c r="N103" s="2" t="str">
        <f>PROPER(Tabla15[[#This Row],[CARGO]])</f>
        <v>Generador De Negocios</v>
      </c>
    </row>
    <row r="104" spans="1:14">
      <c r="A104" s="45">
        <v>103</v>
      </c>
      <c r="B104" s="2">
        <v>44017354</v>
      </c>
      <c r="C104" s="2" t="s">
        <v>557</v>
      </c>
      <c r="D104" s="2" t="s">
        <v>558</v>
      </c>
      <c r="E104" s="2" t="s">
        <v>125</v>
      </c>
      <c r="F104" s="2" t="s">
        <v>98</v>
      </c>
      <c r="G104" s="2" t="s">
        <v>27</v>
      </c>
      <c r="H104" s="2" t="s">
        <v>185</v>
      </c>
      <c r="I104" s="2" t="s">
        <v>100</v>
      </c>
      <c r="J104" s="32" t="s">
        <v>559</v>
      </c>
      <c r="K104" s="32" t="s">
        <v>560</v>
      </c>
      <c r="L104" s="2" t="s">
        <v>103</v>
      </c>
      <c r="M104" s="2" t="str">
        <f>PROPER(Tabla15[[#This Row],[NOMBRES Y APELLIDOS]])</f>
        <v>Maria Elena Mori Suarez</v>
      </c>
      <c r="N104" s="2" t="str">
        <f>PROPER(Tabla15[[#This Row],[CARGO]])</f>
        <v>Generador De Negocios</v>
      </c>
    </row>
    <row r="105" spans="1:14">
      <c r="A105" s="45">
        <v>104</v>
      </c>
      <c r="B105" s="2">
        <v>44920515</v>
      </c>
      <c r="C105" s="2" t="s">
        <v>561</v>
      </c>
      <c r="D105" s="2" t="s">
        <v>562</v>
      </c>
      <c r="E105" s="2" t="s">
        <v>141</v>
      </c>
      <c r="F105" s="2" t="s">
        <v>107</v>
      </c>
      <c r="G105" s="2" t="s">
        <v>142</v>
      </c>
      <c r="H105" s="2" t="s">
        <v>108</v>
      </c>
      <c r="I105" s="2" t="s">
        <v>108</v>
      </c>
      <c r="J105" s="32" t="s">
        <v>563</v>
      </c>
      <c r="K105" s="32" t="s">
        <v>108</v>
      </c>
      <c r="L105" s="2" t="s">
        <v>108</v>
      </c>
      <c r="M105" s="2" t="str">
        <f>PROPER(Tabla15[[#This Row],[NOMBRES Y APELLIDOS]])</f>
        <v>Maria Del Pilar Romero Chunga</v>
      </c>
      <c r="N105" s="2" t="str">
        <f>PROPER(Tabla15[[#This Row],[CARGO]])</f>
        <v>Analista De Creditos Y Cobranzas</v>
      </c>
    </row>
    <row r="106" spans="1:14">
      <c r="A106" s="45">
        <v>105</v>
      </c>
      <c r="B106" s="2">
        <v>40579445</v>
      </c>
      <c r="C106" s="2" t="s">
        <v>564</v>
      </c>
      <c r="D106" s="2" t="s">
        <v>565</v>
      </c>
      <c r="E106" s="2" t="s">
        <v>97</v>
      </c>
      <c r="F106" s="2" t="s">
        <v>107</v>
      </c>
      <c r="G106" s="2" t="s">
        <v>24</v>
      </c>
      <c r="H106" s="2" t="s">
        <v>99</v>
      </c>
      <c r="I106" s="2" t="s">
        <v>100</v>
      </c>
      <c r="J106" s="32" t="s">
        <v>566</v>
      </c>
      <c r="K106" s="43" t="s">
        <v>567</v>
      </c>
      <c r="L106" s="2" t="s">
        <v>103</v>
      </c>
      <c r="M106" s="2" t="str">
        <f>PROPER(Tabla15[[#This Row],[NOMBRES Y APELLIDOS]])</f>
        <v>Maricarmen Plasencia Jara</v>
      </c>
      <c r="N106" s="2" t="str">
        <f>PROPER(Tabla15[[#This Row],[CARGO]])</f>
        <v>Ejecutivo De Ventas De Call Center</v>
      </c>
    </row>
    <row r="107" spans="1:14">
      <c r="A107" s="45">
        <v>106</v>
      </c>
      <c r="B107" s="25" t="s">
        <v>568</v>
      </c>
      <c r="C107" s="25" t="s">
        <v>569</v>
      </c>
      <c r="D107" s="2" t="s">
        <v>570</v>
      </c>
      <c r="E107" s="2" t="s">
        <v>534</v>
      </c>
      <c r="F107" s="2" t="s">
        <v>107</v>
      </c>
      <c r="G107" s="2" t="s">
        <v>265</v>
      </c>
      <c r="H107" s="2" t="s">
        <v>108</v>
      </c>
      <c r="I107" s="2" t="s">
        <v>108</v>
      </c>
      <c r="J107" s="32" t="s">
        <v>571</v>
      </c>
      <c r="K107" s="32" t="s">
        <v>572</v>
      </c>
      <c r="L107" s="2" t="s">
        <v>103</v>
      </c>
      <c r="M107" s="2" t="str">
        <f>PROPER(Tabla15[[#This Row],[NOMBRES Y APELLIDOS]])</f>
        <v>Mario Gerardo Villegas Pacheco</v>
      </c>
      <c r="N107" s="2" t="str">
        <f>PROPER(Tabla15[[#This Row],[CARGO]])</f>
        <v>Product Manager</v>
      </c>
    </row>
    <row r="108" spans="1:14">
      <c r="A108" s="45">
        <v>107</v>
      </c>
      <c r="B108" s="2">
        <v>2044027</v>
      </c>
      <c r="C108" s="2" t="s">
        <v>573</v>
      </c>
      <c r="D108" s="2" t="s">
        <v>574</v>
      </c>
      <c r="E108" s="2" t="s">
        <v>125</v>
      </c>
      <c r="F108" s="2" t="s">
        <v>107</v>
      </c>
      <c r="G108" s="2"/>
      <c r="H108" s="2" t="s">
        <v>232</v>
      </c>
      <c r="I108" s="2" t="s">
        <v>100</v>
      </c>
      <c r="J108" s="32" t="s">
        <v>575</v>
      </c>
      <c r="K108" s="32" t="s">
        <v>576</v>
      </c>
      <c r="L108" s="2" t="s">
        <v>116</v>
      </c>
      <c r="M108" s="2" t="str">
        <f>PROPER(Tabla15[[#This Row],[NOMBRES Y APELLIDOS]])</f>
        <v>Mayerlin Mireya Barrera Barrera</v>
      </c>
      <c r="N108" s="2" t="str">
        <f>PROPER(Tabla15[[#This Row],[CARGO]])</f>
        <v>Generador De Negocios</v>
      </c>
    </row>
    <row r="109" spans="1:14">
      <c r="A109" s="45">
        <v>108</v>
      </c>
      <c r="B109" s="2">
        <v>46367604</v>
      </c>
      <c r="C109" s="2" t="s">
        <v>577</v>
      </c>
      <c r="D109" s="2" t="s">
        <v>578</v>
      </c>
      <c r="E109" s="2" t="s">
        <v>579</v>
      </c>
      <c r="F109" s="2" t="s">
        <v>107</v>
      </c>
      <c r="G109" s="2" t="s">
        <v>25</v>
      </c>
      <c r="H109" s="2" t="s">
        <v>108</v>
      </c>
      <c r="I109" s="2" t="s">
        <v>108</v>
      </c>
      <c r="J109" s="32" t="s">
        <v>580</v>
      </c>
      <c r="K109" s="32" t="s">
        <v>581</v>
      </c>
      <c r="L109" s="2" t="s">
        <v>103</v>
      </c>
      <c r="M109" s="2" t="str">
        <f>PROPER(Tabla15[[#This Row],[NOMBRES Y APELLIDOS]])</f>
        <v>Mayra Rosa Malpartida Campos</v>
      </c>
      <c r="N109" s="2" t="str">
        <f>PROPER(Tabla15[[#This Row],[CARGO]])</f>
        <v>Supervisor De Operaciones Almacen</v>
      </c>
    </row>
    <row r="110" spans="1:14">
      <c r="A110" s="45">
        <v>109</v>
      </c>
      <c r="B110" s="2">
        <v>40336266</v>
      </c>
      <c r="C110" s="2" t="s">
        <v>582</v>
      </c>
      <c r="D110" s="2" t="s">
        <v>583</v>
      </c>
      <c r="E110" s="2" t="s">
        <v>97</v>
      </c>
      <c r="F110" s="2" t="s">
        <v>107</v>
      </c>
      <c r="G110" s="2" t="s">
        <v>24</v>
      </c>
      <c r="H110" s="2" t="s">
        <v>99</v>
      </c>
      <c r="I110" s="2" t="s">
        <v>218</v>
      </c>
      <c r="J110" s="32" t="s">
        <v>584</v>
      </c>
      <c r="K110" s="32" t="s">
        <v>585</v>
      </c>
      <c r="L110" s="2" t="s">
        <v>103</v>
      </c>
      <c r="M110" s="2" t="str">
        <f>PROPER(Tabla15[[#This Row],[NOMBRES Y APELLIDOS]])</f>
        <v>Mayra Rocio Santos Porlles</v>
      </c>
      <c r="N110" s="2" t="str">
        <f>PROPER(Tabla15[[#This Row],[CARGO]])</f>
        <v>Ejecutivo De Ventas De Call Center</v>
      </c>
    </row>
    <row r="111" spans="1:14">
      <c r="A111" s="45">
        <v>110</v>
      </c>
      <c r="B111" s="2">
        <v>75616629</v>
      </c>
      <c r="C111" s="2" t="s">
        <v>586</v>
      </c>
      <c r="D111" s="2" t="s">
        <v>587</v>
      </c>
      <c r="E111" s="2" t="s">
        <v>141</v>
      </c>
      <c r="F111" s="2" t="s">
        <v>107</v>
      </c>
      <c r="G111" s="2" t="s">
        <v>142</v>
      </c>
      <c r="H111" s="2" t="s">
        <v>108</v>
      </c>
      <c r="I111" s="2" t="s">
        <v>108</v>
      </c>
      <c r="J111" s="32" t="s">
        <v>588</v>
      </c>
      <c r="K111" s="32" t="s">
        <v>108</v>
      </c>
      <c r="L111" s="2" t="s">
        <v>108</v>
      </c>
      <c r="M111" s="2" t="str">
        <f>PROPER(Tabla15[[#This Row],[NOMBRES Y APELLIDOS]])</f>
        <v>Milagros Soledad Apaza Delesma</v>
      </c>
      <c r="N111" s="2" t="str">
        <f>PROPER(Tabla15[[#This Row],[CARGO]])</f>
        <v>Analista De Creditos Y Cobranzas</v>
      </c>
    </row>
    <row r="112" spans="1:14">
      <c r="A112" s="45">
        <v>111</v>
      </c>
      <c r="B112" s="2">
        <v>40436993</v>
      </c>
      <c r="C112" s="2" t="s">
        <v>589</v>
      </c>
      <c r="D112" s="2" t="s">
        <v>590</v>
      </c>
      <c r="E112" s="2" t="s">
        <v>97</v>
      </c>
      <c r="F112" s="2" t="s">
        <v>107</v>
      </c>
      <c r="G112" s="2" t="s">
        <v>24</v>
      </c>
      <c r="H112" s="2" t="s">
        <v>99</v>
      </c>
      <c r="I112" s="2" t="s">
        <v>100</v>
      </c>
      <c r="J112" s="32" t="s">
        <v>591</v>
      </c>
      <c r="K112" s="32" t="s">
        <v>592</v>
      </c>
      <c r="L112" s="2" t="s">
        <v>103</v>
      </c>
      <c r="M112" s="2" t="str">
        <f>PROPER(Tabla15[[#This Row],[NOMBRES Y APELLIDOS]])</f>
        <v>Milagros Georgina Valle Almora</v>
      </c>
      <c r="N112" s="2" t="str">
        <f>PROPER(Tabla15[[#This Row],[CARGO]])</f>
        <v>Ejecutivo De Ventas De Call Center</v>
      </c>
    </row>
    <row r="113" spans="1:14">
      <c r="A113" s="45">
        <v>112</v>
      </c>
      <c r="B113" s="47">
        <v>72662121</v>
      </c>
      <c r="C113" s="47" t="s">
        <v>593</v>
      </c>
      <c r="D113" s="2" t="s">
        <v>594</v>
      </c>
      <c r="E113" s="2" t="s">
        <v>595</v>
      </c>
      <c r="F113" s="2" t="s">
        <v>107</v>
      </c>
      <c r="G113" s="2" t="s">
        <v>27</v>
      </c>
      <c r="H113" s="2" t="s">
        <v>108</v>
      </c>
      <c r="I113" s="2" t="s">
        <v>108</v>
      </c>
      <c r="J113" s="43" t="s">
        <v>596</v>
      </c>
      <c r="K113" s="43" t="s">
        <v>597</v>
      </c>
      <c r="L113" s="2" t="s">
        <v>122</v>
      </c>
      <c r="M113" s="2" t="str">
        <f>PROPER(Tabla15[[#This Row],[NOMBRES Y APELLIDOS]])</f>
        <v>Milenka Fiorella Rojas Salas</v>
      </c>
      <c r="N113" s="2" t="str">
        <f>PROPER(Tabla15[[#This Row],[CARGO]])</f>
        <v>Asistente Comercial</v>
      </c>
    </row>
    <row r="114" spans="1:14">
      <c r="A114" s="45">
        <v>113</v>
      </c>
      <c r="B114" s="2">
        <v>70909518</v>
      </c>
      <c r="C114" s="2" t="s">
        <v>598</v>
      </c>
      <c r="D114" s="2" t="s">
        <v>599</v>
      </c>
      <c r="E114" s="2" t="s">
        <v>125</v>
      </c>
      <c r="F114" s="2" t="s">
        <v>107</v>
      </c>
      <c r="G114" s="2" t="s">
        <v>27</v>
      </c>
      <c r="H114" s="2" t="s">
        <v>384</v>
      </c>
      <c r="I114" s="2" t="s">
        <v>100</v>
      </c>
      <c r="J114" s="32" t="s">
        <v>600</v>
      </c>
      <c r="K114" s="32" t="s">
        <v>601</v>
      </c>
      <c r="L114" s="2" t="s">
        <v>116</v>
      </c>
      <c r="M114" s="2" t="str">
        <f>PROPER(Tabla15[[#This Row],[NOMBRES Y APELLIDOS]])</f>
        <v>Milnie Manuel Gutierrez Huarancca</v>
      </c>
      <c r="N114" s="2" t="str">
        <f>PROPER(Tabla15[[#This Row],[CARGO]])</f>
        <v>Generador De Negocios</v>
      </c>
    </row>
    <row r="115" spans="1:14">
      <c r="A115" s="45">
        <v>114</v>
      </c>
      <c r="B115" s="2">
        <v>44924181</v>
      </c>
      <c r="C115" s="2" t="s">
        <v>602</v>
      </c>
      <c r="D115" s="2" t="s">
        <v>603</v>
      </c>
      <c r="E115" s="2" t="s">
        <v>125</v>
      </c>
      <c r="F115" s="2" t="s">
        <v>107</v>
      </c>
      <c r="G115" s="2" t="s">
        <v>27</v>
      </c>
      <c r="H115" s="2" t="s">
        <v>185</v>
      </c>
      <c r="I115" s="2" t="s">
        <v>100</v>
      </c>
      <c r="J115" s="32" t="s">
        <v>604</v>
      </c>
      <c r="K115" s="32" t="s">
        <v>605</v>
      </c>
      <c r="L115" s="2" t="s">
        <v>116</v>
      </c>
      <c r="M115" s="2" t="str">
        <f>PROPER(Tabla15[[#This Row],[NOMBRES Y APELLIDOS]])</f>
        <v>Miriam Viviana Pineda Sanchez</v>
      </c>
      <c r="N115" s="2" t="str">
        <f>PROPER(Tabla15[[#This Row],[CARGO]])</f>
        <v>Generador De Negocios</v>
      </c>
    </row>
    <row r="116" spans="1:14">
      <c r="A116" s="45">
        <v>115</v>
      </c>
      <c r="B116" s="2">
        <v>70342391</v>
      </c>
      <c r="C116" s="2" t="s">
        <v>606</v>
      </c>
      <c r="D116" s="2" t="s">
        <v>607</v>
      </c>
      <c r="E116" s="2" t="s">
        <v>608</v>
      </c>
      <c r="F116" s="2" t="s">
        <v>107</v>
      </c>
      <c r="G116" s="2" t="s">
        <v>25</v>
      </c>
      <c r="H116" s="2" t="s">
        <v>108</v>
      </c>
      <c r="I116" s="2" t="s">
        <v>108</v>
      </c>
      <c r="J116" s="32" t="s">
        <v>609</v>
      </c>
      <c r="K116" s="32" t="s">
        <v>610</v>
      </c>
      <c r="L116" s="2" t="s">
        <v>116</v>
      </c>
      <c r="M116" s="2" t="str">
        <f>PROPER(Tabla15[[#This Row],[NOMBRES Y APELLIDOS]])</f>
        <v>Moises Agustin Diaz Miguel</v>
      </c>
      <c r="N116" s="2" t="str">
        <f>PROPER(Tabla15[[#This Row],[CARGO]])</f>
        <v>Supervisor De Control De Stock</v>
      </c>
    </row>
    <row r="117" spans="1:14">
      <c r="A117" s="45">
        <v>116</v>
      </c>
      <c r="B117" s="2">
        <v>40985749</v>
      </c>
      <c r="C117" s="2" t="s">
        <v>611</v>
      </c>
      <c r="D117" s="2" t="s">
        <v>612</v>
      </c>
      <c r="E117" s="2" t="s">
        <v>125</v>
      </c>
      <c r="F117" s="2" t="s">
        <v>107</v>
      </c>
      <c r="G117" s="2" t="s">
        <v>27</v>
      </c>
      <c r="H117" s="2" t="s">
        <v>217</v>
      </c>
      <c r="I117" s="2" t="s">
        <v>218</v>
      </c>
      <c r="J117" s="32" t="s">
        <v>613</v>
      </c>
      <c r="K117" s="32" t="s">
        <v>614</v>
      </c>
      <c r="L117" s="2" t="s">
        <v>116</v>
      </c>
      <c r="M117" s="2" t="str">
        <f>PROPER(Tabla15[[#This Row],[NOMBRES Y APELLIDOS]])</f>
        <v>Nicanor Simon Prado Roman</v>
      </c>
      <c r="N117" s="2" t="str">
        <f>PROPER(Tabla15[[#This Row],[CARGO]])</f>
        <v>Generador De Negocios</v>
      </c>
    </row>
    <row r="118" spans="1:14">
      <c r="A118" s="45">
        <v>117</v>
      </c>
      <c r="B118" s="2">
        <v>44958559</v>
      </c>
      <c r="C118" s="2" t="s">
        <v>615</v>
      </c>
      <c r="D118" s="2" t="s">
        <v>616</v>
      </c>
      <c r="E118" s="2" t="s">
        <v>125</v>
      </c>
      <c r="F118" s="2" t="s">
        <v>107</v>
      </c>
      <c r="G118" s="2" t="s">
        <v>27</v>
      </c>
      <c r="H118" s="2" t="s">
        <v>384</v>
      </c>
      <c r="I118" s="2" t="s">
        <v>100</v>
      </c>
      <c r="J118" s="32" t="s">
        <v>617</v>
      </c>
      <c r="K118" s="32" t="s">
        <v>618</v>
      </c>
      <c r="L118" s="2" t="s">
        <v>103</v>
      </c>
      <c r="M118" s="2" t="str">
        <f>PROPER(Tabla15[[#This Row],[NOMBRES Y APELLIDOS]])</f>
        <v>Osmar Cristofer Monge Iparraguirre</v>
      </c>
      <c r="N118" s="2" t="str">
        <f>PROPER(Tabla15[[#This Row],[CARGO]])</f>
        <v>Generador De Negocios</v>
      </c>
    </row>
    <row r="119" spans="1:14">
      <c r="A119" s="45">
        <v>118</v>
      </c>
      <c r="B119" s="2">
        <v>5381802</v>
      </c>
      <c r="C119" s="2" t="s">
        <v>619</v>
      </c>
      <c r="D119" s="2" t="s">
        <v>620</v>
      </c>
      <c r="E119" s="2" t="s">
        <v>125</v>
      </c>
      <c r="F119" s="2" t="s">
        <v>107</v>
      </c>
      <c r="G119" s="2" t="s">
        <v>27</v>
      </c>
      <c r="H119" s="2" t="s">
        <v>185</v>
      </c>
      <c r="I119" s="2" t="s">
        <v>100</v>
      </c>
      <c r="J119" s="32" t="s">
        <v>621</v>
      </c>
      <c r="K119" s="32" t="s">
        <v>622</v>
      </c>
      <c r="L119" s="2" t="s">
        <v>116</v>
      </c>
      <c r="M119" s="2" t="str">
        <f>PROPER(Tabla15[[#This Row],[NOMBRES Y APELLIDOS]])</f>
        <v>Oswaldo Cardenas Del Aguila</v>
      </c>
      <c r="N119" s="2" t="str">
        <f>PROPER(Tabla15[[#This Row],[CARGO]])</f>
        <v>Generador De Negocios</v>
      </c>
    </row>
    <row r="120" spans="1:14">
      <c r="A120" s="45">
        <v>119</v>
      </c>
      <c r="B120" s="2">
        <v>18198667</v>
      </c>
      <c r="C120" s="2" t="s">
        <v>623</v>
      </c>
      <c r="D120" s="2" t="s">
        <v>624</v>
      </c>
      <c r="E120" s="2" t="s">
        <v>125</v>
      </c>
      <c r="F120" s="2" t="s">
        <v>107</v>
      </c>
      <c r="G120" s="2" t="s">
        <v>27</v>
      </c>
      <c r="H120" s="2" t="s">
        <v>217</v>
      </c>
      <c r="I120" s="2" t="s">
        <v>218</v>
      </c>
      <c r="J120" s="32" t="s">
        <v>625</v>
      </c>
      <c r="K120" s="32" t="s">
        <v>626</v>
      </c>
      <c r="L120" s="2" t="s">
        <v>116</v>
      </c>
      <c r="M120" s="2" t="str">
        <f>PROPER(Tabla15[[#This Row],[NOMBRES Y APELLIDOS]])</f>
        <v>Oswaldo Diaz Guarniz</v>
      </c>
      <c r="N120" s="2" t="str">
        <f>PROPER(Tabla15[[#This Row],[CARGO]])</f>
        <v>Generador De Negocios</v>
      </c>
    </row>
    <row r="121" spans="1:14">
      <c r="A121" s="45">
        <v>120</v>
      </c>
      <c r="B121" s="2">
        <v>46537762</v>
      </c>
      <c r="C121" s="2" t="s">
        <v>627</v>
      </c>
      <c r="D121" s="2" t="s">
        <v>628</v>
      </c>
      <c r="E121" s="2" t="s">
        <v>629</v>
      </c>
      <c r="F121" s="2" t="s">
        <v>98</v>
      </c>
      <c r="G121" s="2" t="s">
        <v>31</v>
      </c>
      <c r="H121" s="2" t="s">
        <v>108</v>
      </c>
      <c r="I121" s="2" t="s">
        <v>108</v>
      </c>
      <c r="J121" s="32" t="s">
        <v>630</v>
      </c>
      <c r="K121" s="32" t="s">
        <v>631</v>
      </c>
      <c r="L121" s="2" t="s">
        <v>116</v>
      </c>
      <c r="M121" s="2" t="str">
        <f>PROPER(Tabla15[[#This Row],[NOMBRES Y APELLIDOS]])</f>
        <v>Palmira Clotilde Garcia Meza</v>
      </c>
      <c r="N121" s="2" t="str">
        <f>PROPER(Tabla15[[#This Row],[CARGO]])</f>
        <v>Analista De Compras</v>
      </c>
    </row>
    <row r="122" spans="1:14">
      <c r="A122" s="45">
        <v>121</v>
      </c>
      <c r="B122" s="2">
        <v>45795280</v>
      </c>
      <c r="C122" s="2" t="s">
        <v>632</v>
      </c>
      <c r="D122" s="2" t="s">
        <v>633</v>
      </c>
      <c r="E122" s="2" t="s">
        <v>634</v>
      </c>
      <c r="F122" s="2" t="s">
        <v>107</v>
      </c>
      <c r="G122" s="2" t="s">
        <v>22</v>
      </c>
      <c r="H122" s="2" t="s">
        <v>152</v>
      </c>
      <c r="I122" s="2" t="s">
        <v>22</v>
      </c>
      <c r="J122" s="32" t="s">
        <v>635</v>
      </c>
      <c r="K122" s="32" t="s">
        <v>636</v>
      </c>
      <c r="L122" s="2" t="s">
        <v>116</v>
      </c>
      <c r="M122" s="2" t="str">
        <f>PROPER(Tabla15[[#This Row],[NOMBRES Y APELLIDOS]])</f>
        <v>Lahisa Pamela Saavedra Cabrejos</v>
      </c>
      <c r="N122" s="2" t="str">
        <f>PROPER(Tabla15[[#This Row],[CARGO]])</f>
        <v>Ejecutiva B2B</v>
      </c>
    </row>
    <row r="123" spans="1:14">
      <c r="A123" s="45">
        <v>122</v>
      </c>
      <c r="B123" s="2">
        <v>41416951</v>
      </c>
      <c r="C123" s="2" t="s">
        <v>637</v>
      </c>
      <c r="D123" s="2" t="s">
        <v>638</v>
      </c>
      <c r="E123" s="2" t="s">
        <v>125</v>
      </c>
      <c r="F123" s="2" t="s">
        <v>107</v>
      </c>
      <c r="G123" s="2" t="s">
        <v>27</v>
      </c>
      <c r="H123" s="2" t="s">
        <v>232</v>
      </c>
      <c r="I123" s="2" t="s">
        <v>100</v>
      </c>
      <c r="J123" s="32" t="s">
        <v>639</v>
      </c>
      <c r="K123" s="32" t="s">
        <v>640</v>
      </c>
      <c r="L123" s="2" t="s">
        <v>103</v>
      </c>
      <c r="M123" s="2" t="str">
        <f>PROPER(Tabla15[[#This Row],[NOMBRES Y APELLIDOS]])</f>
        <v>Paola Aracelly Payva Baldeon</v>
      </c>
      <c r="N123" s="2" t="str">
        <f>PROPER(Tabla15[[#This Row],[CARGO]])</f>
        <v>Generador De Negocios</v>
      </c>
    </row>
    <row r="124" spans="1:14">
      <c r="A124" s="45">
        <v>123</v>
      </c>
      <c r="B124" s="2">
        <v>40189583</v>
      </c>
      <c r="C124" s="2" t="s">
        <v>641</v>
      </c>
      <c r="D124" s="2" t="s">
        <v>642</v>
      </c>
      <c r="E124" s="2" t="s">
        <v>643</v>
      </c>
      <c r="F124" s="2" t="s">
        <v>107</v>
      </c>
      <c r="G124" s="2" t="s">
        <v>28</v>
      </c>
      <c r="H124" s="2" t="s">
        <v>108</v>
      </c>
      <c r="I124" s="2" t="s">
        <v>108</v>
      </c>
      <c r="J124" s="32" t="s">
        <v>644</v>
      </c>
      <c r="K124" s="32" t="s">
        <v>645</v>
      </c>
      <c r="L124" s="2" t="s">
        <v>116</v>
      </c>
      <c r="M124" s="2" t="str">
        <f>PROPER(Tabla15[[#This Row],[NOMBRES Y APELLIDOS]])</f>
        <v>Paul Rodolfo Bravo Padilla</v>
      </c>
      <c r="N124" s="2" t="str">
        <f>PROPER(Tabla15[[#This Row],[CARGO]])</f>
        <v>Jefe De Contabilidad</v>
      </c>
    </row>
    <row r="125" spans="1:14">
      <c r="A125" s="45">
        <v>124</v>
      </c>
      <c r="B125" s="2">
        <v>9766665</v>
      </c>
      <c r="C125" s="2" t="s">
        <v>646</v>
      </c>
      <c r="D125" s="2" t="s">
        <v>647</v>
      </c>
      <c r="E125" s="2" t="s">
        <v>367</v>
      </c>
      <c r="F125" s="2" t="s">
        <v>107</v>
      </c>
      <c r="G125" s="2" t="s">
        <v>30</v>
      </c>
      <c r="H125" s="2" t="s">
        <v>108</v>
      </c>
      <c r="I125" s="2" t="s">
        <v>108</v>
      </c>
      <c r="J125" s="32" t="s">
        <v>648</v>
      </c>
      <c r="K125" s="32" t="s">
        <v>649</v>
      </c>
      <c r="L125" s="2" t="s">
        <v>116</v>
      </c>
      <c r="M125" s="2" t="str">
        <f>PROPER(Tabla15[[#This Row],[NOMBRES Y APELLIDOS]])</f>
        <v>Raul Heraclides Anyosa Saldaña</v>
      </c>
      <c r="N125" s="2" t="str">
        <f>PROPER(Tabla15[[#This Row],[CARGO]])</f>
        <v>Coordinador De Productos</v>
      </c>
    </row>
    <row r="126" spans="1:14">
      <c r="A126" s="45">
        <v>125</v>
      </c>
      <c r="B126" s="2">
        <v>74174770</v>
      </c>
      <c r="C126" s="2" t="s">
        <v>650</v>
      </c>
      <c r="D126" s="2" t="s">
        <v>651</v>
      </c>
      <c r="E126" s="2" t="s">
        <v>652</v>
      </c>
      <c r="F126" s="2" t="s">
        <v>107</v>
      </c>
      <c r="G126" s="2" t="s">
        <v>25</v>
      </c>
      <c r="H126" s="2" t="s">
        <v>108</v>
      </c>
      <c r="I126" s="2" t="s">
        <v>108</v>
      </c>
      <c r="J126" s="32" t="s">
        <v>653</v>
      </c>
      <c r="K126" s="32" t="s">
        <v>654</v>
      </c>
      <c r="L126" s="2" t="s">
        <v>103</v>
      </c>
      <c r="M126" s="2" t="str">
        <f>PROPER(Tabla15[[#This Row],[NOMBRES Y APELLIDOS]])</f>
        <v>Rebeca Ysabel Caceres Cespedes</v>
      </c>
      <c r="N126" s="2" t="str">
        <f>PROPER(Tabla15[[#This Row],[CARGO]])</f>
        <v>Supervisor De Operaciones Recepcion</v>
      </c>
    </row>
    <row r="127" spans="1:14">
      <c r="A127" s="45">
        <v>126</v>
      </c>
      <c r="B127" s="2">
        <v>43851176</v>
      </c>
      <c r="C127" s="2" t="s">
        <v>655</v>
      </c>
      <c r="D127" s="2" t="s">
        <v>656</v>
      </c>
      <c r="E127" s="2" t="s">
        <v>125</v>
      </c>
      <c r="F127" s="2" t="s">
        <v>107</v>
      </c>
      <c r="G127" s="2" t="s">
        <v>27</v>
      </c>
      <c r="H127" s="2" t="s">
        <v>384</v>
      </c>
      <c r="I127" s="2" t="s">
        <v>100</v>
      </c>
      <c r="J127" s="32" t="s">
        <v>657</v>
      </c>
      <c r="K127" s="32" t="s">
        <v>658</v>
      </c>
      <c r="L127" s="2" t="s">
        <v>116</v>
      </c>
      <c r="M127" s="2" t="str">
        <f>PROPER(Tabla15[[#This Row],[NOMBRES Y APELLIDOS]])</f>
        <v>Renzo Wilman Huaman Allcca</v>
      </c>
      <c r="N127" s="2" t="str">
        <f>PROPER(Tabla15[[#This Row],[CARGO]])</f>
        <v>Generador De Negocios</v>
      </c>
    </row>
    <row r="128" spans="1:14">
      <c r="A128" s="45">
        <v>127</v>
      </c>
      <c r="B128" s="2">
        <v>45724525</v>
      </c>
      <c r="C128" s="2" t="s">
        <v>659</v>
      </c>
      <c r="D128" s="2" t="s">
        <v>660</v>
      </c>
      <c r="E128" s="2" t="s">
        <v>661</v>
      </c>
      <c r="F128" s="2" t="s">
        <v>107</v>
      </c>
      <c r="G128" s="2" t="s">
        <v>142</v>
      </c>
      <c r="H128" s="2" t="s">
        <v>108</v>
      </c>
      <c r="I128" s="2" t="s">
        <v>108</v>
      </c>
      <c r="J128" s="32" t="s">
        <v>662</v>
      </c>
      <c r="K128" s="32" t="s">
        <v>108</v>
      </c>
      <c r="L128" s="2" t="s">
        <v>108</v>
      </c>
      <c r="M128" s="2" t="str">
        <f>PROPER(Tabla15[[#This Row],[NOMBRES Y APELLIDOS]])</f>
        <v>Renzo Eddie Nureña Noriega</v>
      </c>
      <c r="N128" s="2" t="str">
        <f>PROPER(Tabla15[[#This Row],[CARGO]])</f>
        <v>Jefe De Cobranzas</v>
      </c>
    </row>
    <row r="129" spans="1:14">
      <c r="A129" s="45">
        <v>128</v>
      </c>
      <c r="B129" s="2">
        <v>41627984</v>
      </c>
      <c r="C129" s="2" t="s">
        <v>663</v>
      </c>
      <c r="D129" s="2" t="s">
        <v>664</v>
      </c>
      <c r="E129" s="2" t="s">
        <v>125</v>
      </c>
      <c r="F129" s="2" t="s">
        <v>107</v>
      </c>
      <c r="G129" s="2" t="s">
        <v>27</v>
      </c>
      <c r="H129" s="2" t="s">
        <v>232</v>
      </c>
      <c r="I129" s="2" t="s">
        <v>100</v>
      </c>
      <c r="J129" s="32" t="s">
        <v>665</v>
      </c>
      <c r="K129" s="32" t="s">
        <v>666</v>
      </c>
      <c r="L129" s="2" t="s">
        <v>103</v>
      </c>
      <c r="M129" s="2" t="str">
        <f>PROPER(Tabla15[[#This Row],[NOMBRES Y APELLIDOS]])</f>
        <v>Ricardo Manuel Infantes Campos</v>
      </c>
      <c r="N129" s="2" t="str">
        <f>PROPER(Tabla15[[#This Row],[CARGO]])</f>
        <v>Generador De Negocios</v>
      </c>
    </row>
    <row r="130" spans="1:14">
      <c r="A130" s="45">
        <v>129</v>
      </c>
      <c r="B130" s="25" t="s">
        <v>667</v>
      </c>
      <c r="C130" s="25" t="s">
        <v>668</v>
      </c>
      <c r="D130" s="2" t="s">
        <v>669</v>
      </c>
      <c r="E130" s="2" t="s">
        <v>670</v>
      </c>
      <c r="F130" s="2" t="s">
        <v>107</v>
      </c>
      <c r="G130" s="2" t="s">
        <v>52</v>
      </c>
      <c r="H130" s="2" t="s">
        <v>108</v>
      </c>
      <c r="I130" s="2" t="s">
        <v>108</v>
      </c>
      <c r="J130" s="32" t="s">
        <v>671</v>
      </c>
      <c r="K130" s="32" t="s">
        <v>672</v>
      </c>
      <c r="L130" s="2" t="s">
        <v>116</v>
      </c>
      <c r="M130" s="2" t="str">
        <f>PROPER(Tabla15[[#This Row],[NOMBRES Y APELLIDOS]])</f>
        <v>Richard Edwing Salazar Rojo</v>
      </c>
      <c r="N130" s="2" t="str">
        <f>PROPER(Tabla15[[#This Row],[CARGO]])</f>
        <v>Analista De Compras Y Servicios Generales</v>
      </c>
    </row>
    <row r="131" spans="1:14">
      <c r="A131" s="45">
        <v>130</v>
      </c>
      <c r="B131" s="2">
        <v>42592774</v>
      </c>
      <c r="C131" s="2" t="s">
        <v>673</v>
      </c>
      <c r="D131" s="2" t="s">
        <v>674</v>
      </c>
      <c r="E131" s="2" t="s">
        <v>125</v>
      </c>
      <c r="F131" s="2" t="s">
        <v>107</v>
      </c>
      <c r="G131" s="2" t="s">
        <v>27</v>
      </c>
      <c r="H131" s="2" t="s">
        <v>232</v>
      </c>
      <c r="I131" s="2" t="s">
        <v>100</v>
      </c>
      <c r="J131" s="32" t="s">
        <v>675</v>
      </c>
      <c r="K131" s="32" t="s">
        <v>676</v>
      </c>
      <c r="L131" s="2" t="s">
        <v>103</v>
      </c>
      <c r="M131" s="2" t="str">
        <f>PROPER(Tabla15[[#This Row],[NOMBRES Y APELLIDOS]])</f>
        <v>Roger Efrain Chumbes Campos</v>
      </c>
      <c r="N131" s="2" t="str">
        <f>PROPER(Tabla15[[#This Row],[CARGO]])</f>
        <v>Generador De Negocios</v>
      </c>
    </row>
    <row r="132" spans="1:14">
      <c r="A132" s="45">
        <v>131</v>
      </c>
      <c r="B132" s="2">
        <v>19082014</v>
      </c>
      <c r="C132" s="2" t="s">
        <v>677</v>
      </c>
      <c r="D132" s="2" t="s">
        <v>678</v>
      </c>
      <c r="E132" s="2" t="s">
        <v>125</v>
      </c>
      <c r="F132" s="2" t="s">
        <v>107</v>
      </c>
      <c r="G132" s="2" t="s">
        <v>27</v>
      </c>
      <c r="H132" s="2" t="s">
        <v>185</v>
      </c>
      <c r="I132" s="2" t="s">
        <v>100</v>
      </c>
      <c r="J132" s="32" t="s">
        <v>679</v>
      </c>
      <c r="K132" s="32" t="s">
        <v>680</v>
      </c>
      <c r="L132" s="2" t="s">
        <v>103</v>
      </c>
      <c r="M132" s="2" t="str">
        <f>PROPER(Tabla15[[#This Row],[NOMBRES Y APELLIDOS]])</f>
        <v>Roger Ruiz Torres</v>
      </c>
      <c r="N132" s="2" t="str">
        <f>PROPER(Tabla15[[#This Row],[CARGO]])</f>
        <v>Generador De Negocios</v>
      </c>
    </row>
    <row r="133" spans="1:14">
      <c r="A133" s="45">
        <v>132</v>
      </c>
      <c r="B133" s="2">
        <v>10344069</v>
      </c>
      <c r="C133" s="2" t="s">
        <v>681</v>
      </c>
      <c r="D133" s="2" t="s">
        <v>682</v>
      </c>
      <c r="E133" s="2" t="s">
        <v>97</v>
      </c>
      <c r="F133" s="2" t="s">
        <v>107</v>
      </c>
      <c r="G133" s="2" t="s">
        <v>24</v>
      </c>
      <c r="H133" s="2" t="s">
        <v>99</v>
      </c>
      <c r="I133" s="2" t="s">
        <v>100</v>
      </c>
      <c r="J133" s="32" t="s">
        <v>683</v>
      </c>
      <c r="K133" s="32" t="s">
        <v>684</v>
      </c>
      <c r="L133" s="2" t="s">
        <v>103</v>
      </c>
      <c r="M133" s="2" t="str">
        <f>PROPER(Tabla15[[#This Row],[NOMBRES Y APELLIDOS]])</f>
        <v>Rosario Del Pilar Carbajal Ocaña</v>
      </c>
      <c r="N133" s="2" t="str">
        <f>PROPER(Tabla15[[#This Row],[CARGO]])</f>
        <v>Ejecutivo De Ventas De Call Center</v>
      </c>
    </row>
    <row r="134" spans="1:14">
      <c r="A134" s="45">
        <v>133</v>
      </c>
      <c r="B134" s="2">
        <v>70989037</v>
      </c>
      <c r="C134" s="2" t="s">
        <v>685</v>
      </c>
      <c r="D134" s="2" t="s">
        <v>686</v>
      </c>
      <c r="E134" s="2" t="s">
        <v>687</v>
      </c>
      <c r="F134" s="2" t="s">
        <v>107</v>
      </c>
      <c r="G134" s="2" t="s">
        <v>30</v>
      </c>
      <c r="H134" s="2" t="s">
        <v>108</v>
      </c>
      <c r="I134" s="2" t="s">
        <v>108</v>
      </c>
      <c r="J134" s="32" t="s">
        <v>688</v>
      </c>
      <c r="K134" s="32" t="s">
        <v>689</v>
      </c>
      <c r="L134" s="2" t="s">
        <v>103</v>
      </c>
      <c r="M134" s="2" t="str">
        <f>PROPER(Tabla15[[#This Row],[NOMBRES Y APELLIDOS]])</f>
        <v>Rossmary Sarita Pillaca Janampa</v>
      </c>
      <c r="N134" s="2" t="str">
        <f>PROPER(Tabla15[[#This Row],[CARGO]])</f>
        <v>Analista De Comercio Exterior</v>
      </c>
    </row>
    <row r="135" spans="1:14">
      <c r="A135" s="45">
        <v>134</v>
      </c>
      <c r="B135" s="2">
        <v>47896339</v>
      </c>
      <c r="C135" s="2" t="s">
        <v>232</v>
      </c>
      <c r="D135" s="2" t="s">
        <v>690</v>
      </c>
      <c r="E135" s="2" t="s">
        <v>181</v>
      </c>
      <c r="F135" s="2" t="s">
        <v>107</v>
      </c>
      <c r="G135" s="2" t="s">
        <v>27</v>
      </c>
      <c r="H135" s="2" t="s">
        <v>182</v>
      </c>
      <c r="I135" s="2" t="s">
        <v>100</v>
      </c>
      <c r="J135" s="32" t="s">
        <v>691</v>
      </c>
      <c r="K135" s="32" t="s">
        <v>692</v>
      </c>
      <c r="L135" s="2" t="s">
        <v>116</v>
      </c>
      <c r="M135" s="2" t="str">
        <f>PROPER(Tabla15[[#This Row],[NOMBRES Y APELLIDOS]])</f>
        <v>Samuel Omar Soto Bazalar</v>
      </c>
      <c r="N135" s="2" t="str">
        <f>PROPER(Tabla15[[#This Row],[CARGO]])</f>
        <v>Supervisor De Ventas</v>
      </c>
    </row>
    <row r="136" spans="1:14">
      <c r="A136" s="45">
        <v>135</v>
      </c>
      <c r="B136" s="2">
        <v>75200726</v>
      </c>
      <c r="C136" s="2" t="s">
        <v>693</v>
      </c>
      <c r="D136" s="2" t="s">
        <v>694</v>
      </c>
      <c r="E136" s="2" t="s">
        <v>119</v>
      </c>
      <c r="F136" s="2" t="s">
        <v>98</v>
      </c>
      <c r="G136" s="2" t="s">
        <v>28</v>
      </c>
      <c r="H136" s="2" t="s">
        <v>108</v>
      </c>
      <c r="I136" s="2" t="s">
        <v>108</v>
      </c>
      <c r="J136" s="32" t="s">
        <v>695</v>
      </c>
      <c r="K136" s="32" t="s">
        <v>696</v>
      </c>
      <c r="L136" s="2" t="s">
        <v>116</v>
      </c>
      <c r="M136" s="2" t="str">
        <f>PROPER(Tabla15[[#This Row],[NOMBRES Y APELLIDOS]])</f>
        <v>Sandra Mariela Cuaresmayo Espinoza</v>
      </c>
      <c r="N136" s="2" t="str">
        <f>PROPER(Tabla15[[#This Row],[CARGO]])</f>
        <v>Asistente De Contabilidad</v>
      </c>
    </row>
    <row r="137" spans="1:14">
      <c r="A137" s="45">
        <v>136</v>
      </c>
      <c r="B137" s="2">
        <v>46751874</v>
      </c>
      <c r="C137" s="2" t="s">
        <v>697</v>
      </c>
      <c r="D137" s="2" t="s">
        <v>698</v>
      </c>
      <c r="E137" s="2" t="s">
        <v>125</v>
      </c>
      <c r="F137" s="2" t="s">
        <v>107</v>
      </c>
      <c r="G137" s="2" t="s">
        <v>27</v>
      </c>
      <c r="H137" s="2" t="s">
        <v>232</v>
      </c>
      <c r="I137" s="2" t="s">
        <v>100</v>
      </c>
      <c r="J137" s="32" t="s">
        <v>699</v>
      </c>
      <c r="K137" s="32" t="s">
        <v>700</v>
      </c>
      <c r="L137" s="2" t="s">
        <v>103</v>
      </c>
      <c r="M137" s="2" t="str">
        <f>PROPER(Tabla15[[#This Row],[NOMBRES Y APELLIDOS]])</f>
        <v xml:space="preserve">Martha Sayuri Milagros Joaquin Sanchez </v>
      </c>
      <c r="N137" s="2" t="str">
        <f>PROPER(Tabla15[[#This Row],[CARGO]])</f>
        <v>Generador De Negocios</v>
      </c>
    </row>
    <row r="138" spans="1:14">
      <c r="A138" s="45">
        <v>137</v>
      </c>
      <c r="B138" s="2">
        <v>72248823</v>
      </c>
      <c r="C138" s="2" t="s">
        <v>701</v>
      </c>
      <c r="D138" s="2" t="s">
        <v>702</v>
      </c>
      <c r="E138" s="2" t="s">
        <v>125</v>
      </c>
      <c r="F138" s="2" t="s">
        <v>107</v>
      </c>
      <c r="G138" s="2" t="s">
        <v>27</v>
      </c>
      <c r="H138" s="2" t="s">
        <v>384</v>
      </c>
      <c r="I138" s="2" t="s">
        <v>100</v>
      </c>
      <c r="J138" s="32" t="s">
        <v>703</v>
      </c>
      <c r="K138" s="32" t="s">
        <v>704</v>
      </c>
      <c r="L138" s="2" t="s">
        <v>116</v>
      </c>
      <c r="M138" s="2" t="str">
        <f>PROPER(Tabla15[[#This Row],[NOMBRES Y APELLIDOS]])</f>
        <v>Sheyla Fiorella Choque Leon</v>
      </c>
      <c r="N138" s="2" t="str">
        <f>PROPER(Tabla15[[#This Row],[CARGO]])</f>
        <v>Generador De Negocios</v>
      </c>
    </row>
    <row r="139" spans="1:14">
      <c r="A139" s="45">
        <v>138</v>
      </c>
      <c r="B139" s="2">
        <v>77691722</v>
      </c>
      <c r="C139" s="2" t="s">
        <v>705</v>
      </c>
      <c r="D139" s="2" t="s">
        <v>706</v>
      </c>
      <c r="E139" s="2" t="s">
        <v>151</v>
      </c>
      <c r="F139" s="2" t="s">
        <v>107</v>
      </c>
      <c r="G139" s="2" t="s">
        <v>22</v>
      </c>
      <c r="H139" s="2" t="s">
        <v>152</v>
      </c>
      <c r="I139" s="2" t="s">
        <v>22</v>
      </c>
      <c r="J139" s="32" t="s">
        <v>707</v>
      </c>
      <c r="K139" s="32" t="s">
        <v>708</v>
      </c>
      <c r="L139" s="2" t="s">
        <v>103</v>
      </c>
      <c r="M139" s="2" t="str">
        <f>PROPER(Tabla15[[#This Row],[NOMBRES Y APELLIDOS]])</f>
        <v>Sissy Dominique Revolledo Solis</v>
      </c>
      <c r="N139" s="2" t="str">
        <f>PROPER(Tabla15[[#This Row],[CARGO]])</f>
        <v>Ejecutivo B2B</v>
      </c>
    </row>
    <row r="140" spans="1:14">
      <c r="A140" s="45">
        <v>139</v>
      </c>
      <c r="B140" s="2">
        <v>71457931</v>
      </c>
      <c r="C140" s="2" t="s">
        <v>709</v>
      </c>
      <c r="D140" s="2" t="s">
        <v>710</v>
      </c>
      <c r="E140" s="2" t="s">
        <v>711</v>
      </c>
      <c r="F140" s="2" t="s">
        <v>98</v>
      </c>
      <c r="G140" s="2" t="s">
        <v>25</v>
      </c>
      <c r="H140" s="2" t="s">
        <v>108</v>
      </c>
      <c r="I140" s="2" t="s">
        <v>108</v>
      </c>
      <c r="J140" s="32" t="s">
        <v>712</v>
      </c>
      <c r="K140" s="32" t="s">
        <v>713</v>
      </c>
      <c r="L140" s="2" t="s">
        <v>103</v>
      </c>
      <c r="M140" s="2" t="str">
        <f>PROPER(Tabla15[[#This Row],[NOMBRES Y APELLIDOS]])</f>
        <v>Susana Jhare Benites Ramirez</v>
      </c>
      <c r="N140" s="2" t="str">
        <f>PROPER(Tabla15[[#This Row],[CARGO]])</f>
        <v>Asistente De Reposicion</v>
      </c>
    </row>
    <row r="141" spans="1:14">
      <c r="A141" s="45">
        <v>140</v>
      </c>
      <c r="B141" s="25" t="s">
        <v>714</v>
      </c>
      <c r="C141" s="25" t="s">
        <v>715</v>
      </c>
      <c r="D141" s="2" t="s">
        <v>716</v>
      </c>
      <c r="E141" s="2" t="s">
        <v>125</v>
      </c>
      <c r="F141" s="2" t="s">
        <v>98</v>
      </c>
      <c r="G141" s="2" t="s">
        <v>27</v>
      </c>
      <c r="H141" s="2" t="s">
        <v>126</v>
      </c>
      <c r="I141" s="2" t="s">
        <v>100</v>
      </c>
      <c r="J141" s="32" t="s">
        <v>717</v>
      </c>
      <c r="K141" s="32" t="s">
        <v>718</v>
      </c>
      <c r="L141" s="2" t="s">
        <v>116</v>
      </c>
      <c r="M141" s="2" t="str">
        <f>PROPER(Tabla15[[#This Row],[NOMBRES Y APELLIDOS]])</f>
        <v>Sussan Alice Huapaya Yataco</v>
      </c>
      <c r="N141" s="2" t="str">
        <f>PROPER(Tabla15[[#This Row],[CARGO]])</f>
        <v>Generador De Negocios</v>
      </c>
    </row>
    <row r="142" spans="1:14">
      <c r="A142" s="45">
        <v>141</v>
      </c>
      <c r="B142" s="2">
        <v>40769441</v>
      </c>
      <c r="C142" s="2" t="s">
        <v>719</v>
      </c>
      <c r="D142" s="2" t="s">
        <v>720</v>
      </c>
      <c r="E142" s="2" t="s">
        <v>125</v>
      </c>
      <c r="F142" s="2" t="s">
        <v>107</v>
      </c>
      <c r="G142" s="2" t="s">
        <v>27</v>
      </c>
      <c r="H142" s="2" t="s">
        <v>126</v>
      </c>
      <c r="I142" s="2" t="s">
        <v>100</v>
      </c>
      <c r="J142" s="32" t="s">
        <v>721</v>
      </c>
      <c r="K142" s="32" t="s">
        <v>722</v>
      </c>
      <c r="L142" s="2" t="s">
        <v>116</v>
      </c>
      <c r="M142" s="2" t="str">
        <f>PROPER(Tabla15[[#This Row],[NOMBRES Y APELLIDOS]])</f>
        <v>Sussan Obregon Villegas</v>
      </c>
      <c r="N142" s="2" t="str">
        <f>PROPER(Tabla15[[#This Row],[CARGO]])</f>
        <v>Generador De Negocios</v>
      </c>
    </row>
    <row r="143" spans="1:14">
      <c r="A143" s="45">
        <v>142</v>
      </c>
      <c r="B143" s="2">
        <v>76123797</v>
      </c>
      <c r="C143" s="2" t="s">
        <v>723</v>
      </c>
      <c r="D143" s="2" t="s">
        <v>724</v>
      </c>
      <c r="E143" s="2" t="s">
        <v>725</v>
      </c>
      <c r="F143" s="2" t="s">
        <v>107</v>
      </c>
      <c r="G143" s="2" t="s">
        <v>27</v>
      </c>
      <c r="H143" s="2" t="s">
        <v>108</v>
      </c>
      <c r="I143" s="2" t="s">
        <v>108</v>
      </c>
      <c r="J143" s="32" t="s">
        <v>726</v>
      </c>
      <c r="K143" s="32" t="s">
        <v>727</v>
      </c>
      <c r="L143" s="2" t="s">
        <v>116</v>
      </c>
      <c r="M143" s="2" t="str">
        <f>PROPER(Tabla15[[#This Row],[NOMBRES Y APELLIDOS]])</f>
        <v>Ursula Rebeca Lecca Espinoza</v>
      </c>
      <c r="N143" s="2" t="str">
        <f>PROPER(Tabla15[[#This Row],[CARGO]])</f>
        <v>Analista De Post Venta</v>
      </c>
    </row>
    <row r="144" spans="1:14">
      <c r="A144" s="45">
        <v>143</v>
      </c>
      <c r="B144" s="2">
        <v>73577195</v>
      </c>
      <c r="C144" s="2" t="s">
        <v>728</v>
      </c>
      <c r="D144" s="2" t="s">
        <v>729</v>
      </c>
      <c r="E144" s="2" t="s">
        <v>125</v>
      </c>
      <c r="F144" s="2" t="s">
        <v>107</v>
      </c>
      <c r="G144" s="2" t="s">
        <v>27</v>
      </c>
      <c r="H144" s="2" t="s">
        <v>185</v>
      </c>
      <c r="I144" s="2" t="s">
        <v>100</v>
      </c>
      <c r="J144" s="32" t="s">
        <v>730</v>
      </c>
      <c r="K144" s="32" t="s">
        <v>731</v>
      </c>
      <c r="L144" s="2" t="s">
        <v>116</v>
      </c>
      <c r="M144" s="2" t="str">
        <f>PROPER(Tabla15[[#This Row],[NOMBRES Y APELLIDOS]])</f>
        <v>Vanesa Sofia Becerra Cueva</v>
      </c>
      <c r="N144" s="2" t="str">
        <f>PROPER(Tabla15[[#This Row],[CARGO]])</f>
        <v>Generador De Negocios</v>
      </c>
    </row>
    <row r="145" spans="1:14">
      <c r="A145" s="45">
        <v>144</v>
      </c>
      <c r="B145" s="2">
        <v>70125279</v>
      </c>
      <c r="C145" s="2" t="s">
        <v>732</v>
      </c>
      <c r="D145" s="2" t="s">
        <v>733</v>
      </c>
      <c r="E145" s="2" t="s">
        <v>734</v>
      </c>
      <c r="F145" s="2" t="s">
        <v>107</v>
      </c>
      <c r="G145" s="2" t="s">
        <v>25</v>
      </c>
      <c r="H145" s="2" t="s">
        <v>108</v>
      </c>
      <c r="I145" s="2" t="s">
        <v>108</v>
      </c>
      <c r="J145" s="43" t="s">
        <v>735</v>
      </c>
      <c r="K145" s="43" t="s">
        <v>736</v>
      </c>
      <c r="L145" s="2" t="s">
        <v>122</v>
      </c>
      <c r="M145" s="2" t="str">
        <f>PROPER(Tabla15[[#This Row],[NOMBRES Y APELLIDOS]])</f>
        <v>Veronica Valeria Ruelas Guardia</v>
      </c>
      <c r="N145" s="2" t="str">
        <f>PROPER(Tabla15[[#This Row],[CARGO]])</f>
        <v>Jefe De Operaciones - Inbound</v>
      </c>
    </row>
    <row r="146" spans="1:14">
      <c r="A146" s="45">
        <v>145</v>
      </c>
      <c r="B146" s="2">
        <v>45112138</v>
      </c>
      <c r="C146" s="2" t="s">
        <v>737</v>
      </c>
      <c r="D146" s="2" t="s">
        <v>738</v>
      </c>
      <c r="E146" s="2" t="s">
        <v>534</v>
      </c>
      <c r="F146" s="2" t="s">
        <v>107</v>
      </c>
      <c r="G146" s="2" t="s">
        <v>39</v>
      </c>
      <c r="H146" s="2" t="s">
        <v>108</v>
      </c>
      <c r="I146" s="2" t="s">
        <v>108</v>
      </c>
      <c r="J146" s="32" t="s">
        <v>739</v>
      </c>
      <c r="K146" s="32" t="s">
        <v>740</v>
      </c>
      <c r="L146" s="2" t="s">
        <v>116</v>
      </c>
      <c r="M146" s="2" t="str">
        <f>PROPER(Tabla15[[#This Row],[NOMBRES Y APELLIDOS]])</f>
        <v xml:space="preserve">Victor Ruud Torres Gonzales </v>
      </c>
      <c r="N146" s="2" t="str">
        <f>PROPER(Tabla15[[#This Row],[CARGO]])</f>
        <v>Product Manager</v>
      </c>
    </row>
    <row r="147" spans="1:14">
      <c r="A147" s="45">
        <v>146</v>
      </c>
      <c r="B147" s="2">
        <v>43692257</v>
      </c>
      <c r="C147" s="2" t="s">
        <v>741</v>
      </c>
      <c r="D147" s="2" t="s">
        <v>742</v>
      </c>
      <c r="E147" s="2" t="s">
        <v>97</v>
      </c>
      <c r="F147" s="2" t="s">
        <v>107</v>
      </c>
      <c r="G147" s="2" t="s">
        <v>24</v>
      </c>
      <c r="H147" s="2" t="s">
        <v>99</v>
      </c>
      <c r="I147" s="2" t="s">
        <v>100</v>
      </c>
      <c r="J147" s="32" t="s">
        <v>743</v>
      </c>
      <c r="K147" s="32" t="s">
        <v>744</v>
      </c>
      <c r="L147" s="2" t="s">
        <v>103</v>
      </c>
      <c r="M147" s="2" t="str">
        <f>PROPER(Tabla15[[#This Row],[NOMBRES Y APELLIDOS]])</f>
        <v>Viviana Pinedo Seminario</v>
      </c>
      <c r="N147" s="2" t="str">
        <f>PROPER(Tabla15[[#This Row],[CARGO]])</f>
        <v>Ejecutivo De Ventas De Call Center</v>
      </c>
    </row>
    <row r="148" spans="1:14">
      <c r="A148" s="46">
        <v>147</v>
      </c>
      <c r="B148" s="2">
        <v>18903072</v>
      </c>
      <c r="C148" s="2" t="s">
        <v>217</v>
      </c>
      <c r="D148" s="2" t="s">
        <v>745</v>
      </c>
      <c r="E148" s="2" t="s">
        <v>746</v>
      </c>
      <c r="F148" s="2" t="s">
        <v>107</v>
      </c>
      <c r="G148" s="2" t="s">
        <v>27</v>
      </c>
      <c r="H148" s="2" t="s">
        <v>217</v>
      </c>
      <c r="I148" s="2" t="s">
        <v>218</v>
      </c>
      <c r="J148" s="32" t="s">
        <v>747</v>
      </c>
      <c r="K148" s="32" t="s">
        <v>748</v>
      </c>
      <c r="L148" s="2" t="s">
        <v>116</v>
      </c>
      <c r="M148" s="2" t="str">
        <f>PROPER(Tabla15[[#This Row],[NOMBRES Y APELLIDOS]])</f>
        <v>Walter Olardin Ruiz Ramirez</v>
      </c>
      <c r="N148" s="2" t="str">
        <f>PROPER(Tabla15[[#This Row],[CARGO]])</f>
        <v>Gerente De Ventas Y Desarrollo De Productos</v>
      </c>
    </row>
    <row r="149" spans="1:14">
      <c r="A149" s="46">
        <v>148</v>
      </c>
      <c r="B149" s="2">
        <v>43762449</v>
      </c>
      <c r="C149" s="2" t="s">
        <v>749</v>
      </c>
      <c r="D149" s="2" t="s">
        <v>750</v>
      </c>
      <c r="E149" s="2" t="s">
        <v>751</v>
      </c>
      <c r="F149" s="2" t="s">
        <v>107</v>
      </c>
      <c r="G149" s="2" t="s">
        <v>25</v>
      </c>
      <c r="H149" s="2" t="s">
        <v>108</v>
      </c>
      <c r="I149" s="2" t="s">
        <v>108</v>
      </c>
      <c r="J149" s="32" t="s">
        <v>752</v>
      </c>
      <c r="K149" s="32" t="s">
        <v>753</v>
      </c>
      <c r="L149" s="2" t="s">
        <v>103</v>
      </c>
      <c r="M149" s="2" t="str">
        <f>PROPER(Tabla15[[#This Row],[NOMBRES Y APELLIDOS]])</f>
        <v>William Luis Martinez Galvez</v>
      </c>
      <c r="N149" s="2" t="str">
        <f>PROPER(Tabla15[[#This Row],[CARGO]])</f>
        <v>Jefe De Operaciones Outbound}</v>
      </c>
    </row>
    <row r="150" spans="1:14">
      <c r="A150" s="46">
        <v>149</v>
      </c>
      <c r="B150" s="2">
        <v>40182991</v>
      </c>
      <c r="C150" s="2" t="s">
        <v>754</v>
      </c>
      <c r="D150" s="2" t="s">
        <v>755</v>
      </c>
      <c r="E150" s="2" t="s">
        <v>125</v>
      </c>
      <c r="F150" s="2" t="s">
        <v>107</v>
      </c>
      <c r="G150" s="2" t="s">
        <v>27</v>
      </c>
      <c r="H150" s="2" t="s">
        <v>277</v>
      </c>
      <c r="I150" s="2" t="s">
        <v>100</v>
      </c>
      <c r="J150" s="32" t="s">
        <v>756</v>
      </c>
      <c r="K150" s="32" t="s">
        <v>757</v>
      </c>
      <c r="L150" s="2" t="s">
        <v>103</v>
      </c>
      <c r="M150" s="2" t="str">
        <f>PROPER(Tabla15[[#This Row],[NOMBRES Y APELLIDOS]])</f>
        <v>Walter William Vasquez Calmet</v>
      </c>
      <c r="N150" s="2" t="str">
        <f>PROPER(Tabla15[[#This Row],[CARGO]])</f>
        <v>Generador De Negocios</v>
      </c>
    </row>
    <row r="151" spans="1:14">
      <c r="A151" s="46">
        <v>150</v>
      </c>
      <c r="B151" s="2">
        <v>3327852</v>
      </c>
      <c r="C151" s="2" t="s">
        <v>758</v>
      </c>
      <c r="D151" s="2" t="s">
        <v>759</v>
      </c>
      <c r="E151" s="2" t="s">
        <v>151</v>
      </c>
      <c r="F151" s="2" t="s">
        <v>107</v>
      </c>
      <c r="G151" s="2" t="s">
        <v>22</v>
      </c>
      <c r="H151" s="2" t="s">
        <v>152</v>
      </c>
      <c r="I151" s="2" t="s">
        <v>22</v>
      </c>
      <c r="J151" s="32" t="s">
        <v>760</v>
      </c>
      <c r="K151" s="32" t="s">
        <v>761</v>
      </c>
      <c r="L151" s="2" t="s">
        <v>103</v>
      </c>
      <c r="M151" s="2" t="str">
        <f>PROPER(Tabla15[[#This Row],[NOMBRES Y APELLIDOS]])</f>
        <v>Yenny Yubisay Marin</v>
      </c>
      <c r="N151" s="2" t="str">
        <f>PROPER(Tabla15[[#This Row],[CARGO]])</f>
        <v>Ejecutivo B2B</v>
      </c>
    </row>
    <row r="152" spans="1:14">
      <c r="A152" s="46">
        <v>151</v>
      </c>
      <c r="B152" s="2">
        <v>43023143</v>
      </c>
      <c r="C152" s="2" t="s">
        <v>762</v>
      </c>
      <c r="D152" s="2" t="s">
        <v>763</v>
      </c>
      <c r="E152" s="2" t="s">
        <v>125</v>
      </c>
      <c r="F152" s="2" t="s">
        <v>107</v>
      </c>
      <c r="G152" s="2" t="s">
        <v>27</v>
      </c>
      <c r="H152" s="2" t="s">
        <v>177</v>
      </c>
      <c r="I152" s="2" t="s">
        <v>100</v>
      </c>
      <c r="J152" s="32" t="s">
        <v>764</v>
      </c>
      <c r="K152" s="32" t="s">
        <v>765</v>
      </c>
      <c r="L152" s="2" t="s">
        <v>103</v>
      </c>
      <c r="M152" s="2" t="str">
        <f>PROPER(Tabla15[[#This Row],[NOMBRES Y APELLIDOS]])</f>
        <v>Yessica Patricia Delgado Aragon</v>
      </c>
      <c r="N152" s="2" t="str">
        <f>PROPER(Tabla15[[#This Row],[CARGO]])</f>
        <v>Generador De Negocios</v>
      </c>
    </row>
  </sheetData>
  <conditionalFormatting sqref="F2:L152">
    <cfRule type="cellIs" dxfId="182" priority="1" operator="equal">
      <formula>"INACTIVO"</formula>
    </cfRule>
    <cfRule type="cellIs" dxfId="181" priority="2" operator="equal">
      <formula>"ACTIVO"</formula>
    </cfRule>
  </conditionalFormatting>
  <hyperlinks>
    <hyperlink ref="J2" r:id="rId1" xr:uid="{D758389B-4BEA-4FFF-9A63-487C50113D4A}"/>
    <hyperlink ref="J13" r:id="rId2" xr:uid="{3EA8055F-2750-48E4-9260-5E31B2F237DE}"/>
    <hyperlink ref="J69" r:id="rId3" xr:uid="{6170385D-3FE3-416B-A9D0-1F0CE092DBC8}"/>
    <hyperlink ref="J16" r:id="rId4" xr:uid="{BA7CFFF8-E8C4-48F2-A818-EECA8372E74C}"/>
    <hyperlink ref="J29" r:id="rId5" xr:uid="{23ADBE18-7A44-4437-A7AF-DDB52896C0D2}"/>
    <hyperlink ref="J38" r:id="rId6" xr:uid="{BBC5AD08-07D2-4EFF-8D61-8582845F03C5}"/>
    <hyperlink ref="J39" r:id="rId7" xr:uid="{43287FCF-79AC-4901-B766-C3423C666747}"/>
    <hyperlink ref="J40" r:id="rId8" xr:uid="{25B32EBB-0871-4C80-90B4-C8400EEDC0E4}"/>
    <hyperlink ref="J41" r:id="rId9" xr:uid="{4F7A1C10-6340-4125-B056-73B425167AA2}"/>
    <hyperlink ref="J42" r:id="rId10" xr:uid="{9DD760EA-AB57-470E-AC88-EEB40F79512E}"/>
    <hyperlink ref="J47" r:id="rId11" xr:uid="{8FEF04D2-5271-4487-9C2A-D7DF42CE82E1}"/>
    <hyperlink ref="J57" r:id="rId12" xr:uid="{F3B26E2A-CC74-4190-AA53-03893354B6E2}"/>
    <hyperlink ref="J59" r:id="rId13" xr:uid="{747D2522-746E-46CF-B2DC-933E0E700EF9}"/>
    <hyperlink ref="J65" r:id="rId14" xr:uid="{162D5620-72F1-433D-B2E8-86FDCE5D74D4}"/>
    <hyperlink ref="J66" r:id="rId15" xr:uid="{467CD435-AE07-4028-946B-7C96ED67D107}"/>
    <hyperlink ref="J72" r:id="rId16" xr:uid="{81569AC6-819B-4645-83B8-A5A5A79E8EBD}"/>
    <hyperlink ref="J73" r:id="rId17" xr:uid="{B07807CB-64D6-49F4-896D-2B5FDA5DA2C0}"/>
    <hyperlink ref="J74" r:id="rId18" xr:uid="{8D22FE7D-331B-4EA2-B636-383C25407618}"/>
    <hyperlink ref="J75" r:id="rId19" xr:uid="{98BF27BA-0261-46DE-BB3A-7A6BD4599F45}"/>
    <hyperlink ref="J103" r:id="rId20" xr:uid="{00C53F07-C0B2-4D8C-8CFB-0113DF0E2A44}"/>
    <hyperlink ref="J80" r:id="rId21" xr:uid="{8B1377EE-209C-4039-BF75-A8D236B39CD5}"/>
    <hyperlink ref="J81" r:id="rId22" xr:uid="{B733B09E-0E13-41FD-805E-77307CE409A6}"/>
    <hyperlink ref="J82" r:id="rId23" xr:uid="{A7015ADE-D003-40EE-9FCE-D028366DEED1}"/>
    <hyperlink ref="J85" r:id="rId24" xr:uid="{50D2709A-1235-4755-810D-C9A462B1B2C6}"/>
    <hyperlink ref="J87" r:id="rId25" xr:uid="{71170470-0971-4E4E-A80F-87FEEE2D6F1B}"/>
    <hyperlink ref="J89" r:id="rId26" xr:uid="{E6B89360-7C80-4B60-A831-00FD08B42A84}"/>
    <hyperlink ref="J90" r:id="rId27" xr:uid="{24867A82-552A-44FC-A849-62D6CE346729}"/>
    <hyperlink ref="J95" r:id="rId28" xr:uid="{7CFC6225-42D5-4321-AE00-D92FAE73B666}"/>
    <hyperlink ref="J97" r:id="rId29" xr:uid="{324E3D8B-296E-4861-818D-D300959BBA72}"/>
    <hyperlink ref="J99" r:id="rId30" xr:uid="{81F1CB71-8348-47E3-851D-8EAC530DB041}"/>
    <hyperlink ref="J102" r:id="rId31" xr:uid="{BFEEE4A1-E6AA-439B-9591-E5798DF4B053}"/>
    <hyperlink ref="J104" r:id="rId32" xr:uid="{36EF65F6-C937-4967-BE40-B546CF89C9D3}"/>
    <hyperlink ref="J106" r:id="rId33" xr:uid="{F3058FE9-99CC-41C6-8F4F-B2457D921591}"/>
    <hyperlink ref="J110" r:id="rId34" xr:uid="{51626B6B-9C00-4FFE-AB99-D20111EA22A7}"/>
    <hyperlink ref="J117" r:id="rId35" xr:uid="{12915D21-6A32-416C-A518-BFE13ED4D4A3}"/>
    <hyperlink ref="J118" r:id="rId36" xr:uid="{936CADCC-59FB-45F3-A24C-6373DE243E61}"/>
    <hyperlink ref="J119" r:id="rId37" xr:uid="{4E3BF089-1077-453B-89EC-772F75FDDC13}"/>
    <hyperlink ref="J120" r:id="rId38" xr:uid="{99E80831-D46F-44F3-989F-6E051811901C}"/>
    <hyperlink ref="J123" r:id="rId39" xr:uid="{6F4908D3-D693-41D1-BCA5-6229383C64A3}"/>
    <hyperlink ref="J127" r:id="rId40" xr:uid="{E7AD471E-5EB1-45CE-8D84-0B74738915C8}"/>
    <hyperlink ref="J131" r:id="rId41" xr:uid="{DF224776-6679-4A60-A4EB-4F59F9F1CF19}"/>
    <hyperlink ref="J132" r:id="rId42" xr:uid="{A9162CE8-9BCD-46B1-A563-409C2A9AFCFB}"/>
    <hyperlink ref="J135" r:id="rId43" xr:uid="{082BE4F3-81D0-403C-AA95-3AB89FA3E822}"/>
    <hyperlink ref="J138" r:id="rId44" xr:uid="{014F370E-F4B8-4BD3-9DDC-59087337B8CA}"/>
    <hyperlink ref="J141" r:id="rId45" xr:uid="{D2E668B5-CEF1-4C31-95FD-AB25EE3000AB}"/>
    <hyperlink ref="J142" r:id="rId46" xr:uid="{180AA93C-F303-4998-BEDE-D41D2B5ABB3C}"/>
    <hyperlink ref="J144" r:id="rId47" xr:uid="{ADC7DB0C-D23C-43A5-A1BE-7E31687BA2EF}"/>
    <hyperlink ref="J146" r:id="rId48" xr:uid="{3C8D036C-E207-48CB-9EB3-BDC40F40D5A3}"/>
    <hyperlink ref="J147" r:id="rId49" xr:uid="{44B5703C-2E5B-448D-8878-C43A58E8BDF3}"/>
    <hyperlink ref="J148" r:id="rId50" xr:uid="{5578A71B-DCF2-45C8-B5FA-9C692B8D6002}"/>
    <hyperlink ref="J149" r:id="rId51" xr:uid="{2992705A-6325-4F1E-BE4F-8B9DA77BE8CB}"/>
    <hyperlink ref="J151" r:id="rId52" xr:uid="{B3E31D13-22C9-4953-86E7-D40C4149CF5A}"/>
    <hyperlink ref="J8" r:id="rId53" xr:uid="{BEFFFDEC-3E90-4D9C-B8B5-3969728223C2}"/>
    <hyperlink ref="J14" r:id="rId54" xr:uid="{B7BC9A07-7843-4FDB-BC26-D854369B1A5E}"/>
    <hyperlink ref="J12" r:id="rId55" xr:uid="{80FFB029-70F0-4894-BE1B-DD2627060BA4}"/>
    <hyperlink ref="J10" r:id="rId56" xr:uid="{5A47FD6E-378D-4924-926A-4B7561FF464A}"/>
    <hyperlink ref="J11" r:id="rId57" xr:uid="{0F269664-CF60-41E9-89F9-AA9032BA72C0}"/>
    <hyperlink ref="J152" r:id="rId58" xr:uid="{AAA19D2A-5E41-404B-AF30-6553505AE113}"/>
    <hyperlink ref="J150" r:id="rId59" xr:uid="{ED8F38DD-2593-4C17-BA6D-970F5C330D2D}"/>
    <hyperlink ref="J143" r:id="rId60" xr:uid="{24A955FE-5664-4EC4-90F3-33F964B3AF26}"/>
    <hyperlink ref="J140" r:id="rId61" xr:uid="{4AC0677B-D033-4B2E-9A4F-CDDAFAEB33A9}"/>
    <hyperlink ref="J139" r:id="rId62" xr:uid="{6256486D-25E5-4110-A901-D40445C6171D}"/>
    <hyperlink ref="J136" r:id="rId63" xr:uid="{64F1B176-9EF6-4285-9BC6-63183E8781FD}"/>
    <hyperlink ref="J134" r:id="rId64" xr:uid="{CA3EACDC-82D5-4D61-8B4E-BE00CE7DF859}"/>
    <hyperlink ref="J133" r:id="rId65" xr:uid="{0214E4A5-46BD-452C-A8D5-098E529D1E6C}"/>
    <hyperlink ref="J130" r:id="rId66" xr:uid="{B08A6FD7-3735-4ECC-B859-944D349567E0}"/>
    <hyperlink ref="J129" r:id="rId67" xr:uid="{F6ADA98E-7451-4DFF-BCE2-ADC9C9B54DAC}"/>
    <hyperlink ref="J128" r:id="rId68" xr:uid="{61E945CC-097A-49DD-93B7-9C8F590C4A2D}"/>
    <hyperlink ref="J126" r:id="rId69" xr:uid="{02E661AD-91F3-4623-84B6-2E52A0A13434}"/>
    <hyperlink ref="J125" r:id="rId70" xr:uid="{43DC91C3-F28B-4323-8B5F-079087DCD486}"/>
    <hyperlink ref="J124" r:id="rId71" xr:uid="{7CF6FA6D-CEF4-46D3-8AE7-3540B9AE3071}"/>
    <hyperlink ref="J121" r:id="rId72" xr:uid="{240710A3-B013-45EB-B33A-24579F719300}"/>
    <hyperlink ref="J116" r:id="rId73" xr:uid="{7F2E8D68-DDA5-4AAE-9C92-BBADE932A81F}"/>
    <hyperlink ref="J115" r:id="rId74" xr:uid="{0D9ED218-A76D-4C50-A82E-D0282481CCB1}"/>
    <hyperlink ref="J114" r:id="rId75" xr:uid="{AF5EE5A7-4262-44F5-8A72-6B936842A361}"/>
    <hyperlink ref="J111" r:id="rId76" xr:uid="{B9BC3EEA-6AA0-4761-90C1-AA47D6499722}"/>
    <hyperlink ref="J112" r:id="rId77" xr:uid="{165083C4-A522-4274-BD9D-D4962B3917CF}"/>
    <hyperlink ref="J109" r:id="rId78" xr:uid="{55631EB0-3109-4700-A783-15BF1D67BE0A}"/>
    <hyperlink ref="J108" r:id="rId79" xr:uid="{82B31CDE-4882-4EE3-8CD0-0838BFD0D255}"/>
    <hyperlink ref="J137" r:id="rId80" xr:uid="{371E76E6-5432-4B16-9DE5-6DC5FC7E699C}"/>
    <hyperlink ref="J107" r:id="rId81" xr:uid="{1788BFF9-670D-47E9-B64A-61D234C052E7}"/>
    <hyperlink ref="J105" r:id="rId82" xr:uid="{F71DDE7B-B285-4412-9C1D-31927CA20B1C}"/>
    <hyperlink ref="J100" r:id="rId83" xr:uid="{57EAEB6D-9E2C-4AD6-A4FD-F6792CF4E953}"/>
    <hyperlink ref="J101" r:id="rId84" xr:uid="{1344455C-3986-4ADF-9C71-47F91E51B177}"/>
    <hyperlink ref="J98" r:id="rId85" xr:uid="{24DDEB2C-C345-4578-9581-71BA78B5929D}"/>
    <hyperlink ref="J46" r:id="rId86" xr:uid="{A4738A75-A972-495D-850C-FA587819013E}"/>
    <hyperlink ref="J122" r:id="rId87" xr:uid="{8227578A-6A35-489F-AC82-5D161426684F}"/>
    <hyperlink ref="J96" r:id="rId88" xr:uid="{06E4AF80-B588-412C-92E7-E1704D53E016}"/>
    <hyperlink ref="J94" r:id="rId89" xr:uid="{D8D2F8CA-10B3-4493-926A-5ECDF77CA86E}"/>
    <hyperlink ref="J93" r:id="rId90" xr:uid="{504B9E29-E585-4A5B-B18F-D35E06EFC9B1}"/>
    <hyperlink ref="J92" r:id="rId91" xr:uid="{67CB14EF-90C1-4CD4-AC00-2DD9DA8CA5DE}"/>
    <hyperlink ref="J91" r:id="rId92" display="avalencia@refax.pe" xr:uid="{DD106138-7EF7-4C23-BB01-C0BEB86E5DC8}"/>
    <hyperlink ref="J88" r:id="rId93" xr:uid="{6AF4A15C-8F06-4E9C-BAAD-2DB202EE46D9}"/>
    <hyperlink ref="J20" r:id="rId94" display="abardales@refax.pe" xr:uid="{38F7CDBF-A959-4606-A0F7-E7264E861B84}"/>
    <hyperlink ref="J86" r:id="rId95" xr:uid="{60700A98-FEC4-4566-B6A2-EFF74F55159C}"/>
    <hyperlink ref="J83" r:id="rId96" xr:uid="{7183D116-4793-4FA4-BC14-46228A11F591}"/>
    <hyperlink ref="J79" r:id="rId97" xr:uid="{4CED5755-FD61-474B-8AB1-F3C5A2AD5B10}"/>
    <hyperlink ref="J78" r:id="rId98" xr:uid="{58FF7C8A-D7BE-463F-82DF-9951BBD7B693}"/>
    <hyperlink ref="J77" r:id="rId99" xr:uid="{DF67C38E-03F3-4B5D-8D8B-2456033796D4}"/>
    <hyperlink ref="J76" r:id="rId100" xr:uid="{132FA06B-A329-4B78-A002-F23A8EF12BB3}"/>
    <hyperlink ref="J15" r:id="rId101" xr:uid="{F4351D18-F474-4E71-9559-11CED53615FB}"/>
    <hyperlink ref="J71" r:id="rId102" xr:uid="{41D37EE5-FF87-4FA9-A9FA-25CDA1AD0EC6}"/>
    <hyperlink ref="J70" r:id="rId103" xr:uid="{43EA54F5-6BB9-43E8-9F05-4E3E95132F61}"/>
    <hyperlink ref="J68" r:id="rId104" xr:uid="{BCAD8D0F-8FC0-432E-8294-0AA82F2F5274}"/>
    <hyperlink ref="J67" r:id="rId105" xr:uid="{5EF3CBF0-FFBC-443A-AAE0-9FB5810A871B}"/>
    <hyperlink ref="J64" r:id="rId106" xr:uid="{4EB92779-5B18-4164-BC3A-0DE825B9B072}"/>
    <hyperlink ref="J63" r:id="rId107" xr:uid="{DBD0C868-5ECB-49E9-B489-C90C9CE9A8AB}"/>
    <hyperlink ref="J62" r:id="rId108" xr:uid="{9D8D211F-D2C7-4717-94D0-B59444354B3C}"/>
    <hyperlink ref="J60" r:id="rId109" xr:uid="{23A146C0-B112-43E8-BEEE-28D73A2D9B3F}"/>
    <hyperlink ref="J61" r:id="rId110" xr:uid="{5218351C-F0C9-45E9-B445-D5CF037F5C2A}"/>
    <hyperlink ref="J58" r:id="rId111" xr:uid="{31861C90-0857-4E5D-9037-2EC9E6A7A6B6}"/>
    <hyperlink ref="J56" r:id="rId112" xr:uid="{57303D74-20C0-4415-A10E-F1D933682538}"/>
    <hyperlink ref="J55" r:id="rId113" xr:uid="{9D3D739E-927A-40CB-8E6F-2BA88C10FD16}"/>
    <hyperlink ref="J54" r:id="rId114" xr:uid="{A9A17317-4730-4707-981A-16033E026851}"/>
    <hyperlink ref="J53" r:id="rId115" xr:uid="{F133787C-F81A-4066-96B2-CD87BA011545}"/>
    <hyperlink ref="J51" r:id="rId116" display="gañazco@refax.pe" xr:uid="{E24B132D-CF03-4553-ADC6-136649D9FDD6}"/>
    <hyperlink ref="J50" r:id="rId117" xr:uid="{B2AC7ED5-DE2E-4B3C-9E0C-32C8A57215C4}"/>
    <hyperlink ref="J49" r:id="rId118" display="rsalazar@refax.pe" xr:uid="{389AA730-1F85-4243-B038-E905141D4593}"/>
    <hyperlink ref="J48" r:id="rId119" xr:uid="{A7B222A9-F3AE-4F2C-906D-A5448B1FE9C3}"/>
    <hyperlink ref="J43" r:id="rId120" xr:uid="{1101C38D-B141-4D4F-B744-1E80B1566408}"/>
    <hyperlink ref="J37" r:id="rId121" xr:uid="{5AD26ECA-D0A5-4528-AA93-CB31C2B70D3E}"/>
    <hyperlink ref="J36" r:id="rId122" xr:uid="{1E16F521-901D-4B85-B347-BD5BA5B80FD8}"/>
    <hyperlink ref="J35" r:id="rId123" xr:uid="{4D42BE27-140F-4912-811B-25F627AEB291}"/>
    <hyperlink ref="J34" r:id="rId124" xr:uid="{1F4A8DEE-FBFD-4437-8DD9-2AEB2B964FFA}"/>
    <hyperlink ref="J33" r:id="rId125" xr:uid="{415B62E6-2A99-4F89-891E-177777C459AA}"/>
    <hyperlink ref="J32" r:id="rId126" display="aberru@refax.pe" xr:uid="{64BB21DC-563A-4817-BCC1-2546C99E986D}"/>
    <hyperlink ref="J30" r:id="rId127" xr:uid="{7A7FA2A5-AFB7-4495-8055-46DD16E2A007}"/>
    <hyperlink ref="J28" r:id="rId128" xr:uid="{D05271A1-C632-42E0-8E6D-0111506E58C3}"/>
    <hyperlink ref="J26" r:id="rId129" xr:uid="{6B0FFCB3-11DD-4EFB-9FE1-46840B3B94AA}"/>
    <hyperlink ref="J25" r:id="rId130" xr:uid="{CCA66C81-1175-478C-BBBD-F3E500791AEB}"/>
    <hyperlink ref="J24" r:id="rId131" xr:uid="{A5FF612C-40B6-44D8-9E4E-C64FE5B79965}"/>
    <hyperlink ref="J23" r:id="rId132" xr:uid="{FAB0AEB8-6144-46AD-9176-58C472A8B7CA}"/>
    <hyperlink ref="J22" r:id="rId133" xr:uid="{1119C367-1547-4917-B5DC-A4984A5DC80F}"/>
    <hyperlink ref="J21" r:id="rId134" xr:uid="{37E64314-BC5E-470B-8162-47671F5F132E}"/>
    <hyperlink ref="J19" r:id="rId135" xr:uid="{CCF6AD94-F472-4F70-91AA-76C7C32B26C0}"/>
    <hyperlink ref="J17" r:id="rId136" xr:uid="{1477E837-D805-45D9-8BA6-96F8E1B67470}"/>
    <hyperlink ref="J18" r:id="rId137" xr:uid="{50BE111C-10F7-4FA4-86C3-9212CC139399}"/>
    <hyperlink ref="J9" r:id="rId138" xr:uid="{C893DC12-E001-4621-A700-5270E51DCC59}"/>
    <hyperlink ref="J7" r:id="rId139" xr:uid="{C630E754-9ACA-4105-AE38-40B2338450F2}"/>
    <hyperlink ref="J6" r:id="rId140" xr:uid="{941F0D1A-9C9B-448D-AD76-F38DE2B7A88C}"/>
    <hyperlink ref="J5" r:id="rId141" xr:uid="{35C5987E-5EA9-4D2C-941C-FFE9D2F41B73}"/>
    <hyperlink ref="J4" r:id="rId142" xr:uid="{F58AE5EA-5520-4CF7-8E1E-92968AD3E26E}"/>
    <hyperlink ref="K2" r:id="rId143" xr:uid="{86EC5125-9A0C-481F-8CDE-652870D9E87F}"/>
    <hyperlink ref="K3" r:id="rId144" xr:uid="{133C1AE8-F20C-404B-918B-31E6F4B6DD86}"/>
    <hyperlink ref="K4" r:id="rId145" xr:uid="{44101C89-02E2-47D1-84CF-3E4E1A6C4F83}"/>
    <hyperlink ref="K5" r:id="rId146" xr:uid="{4ABEA596-C672-4754-8F25-6A30C796A0D1}"/>
    <hyperlink ref="K6" r:id="rId147" xr:uid="{C5955C21-9429-485E-9AC9-3D7D623F0391}"/>
    <hyperlink ref="K7" r:id="rId148" xr:uid="{61858B19-776B-42F0-836A-868C74488EA3}"/>
    <hyperlink ref="K9" r:id="rId149" display="ayataco.refax@gmail.com" xr:uid="{D06FE6B8-BA0C-48CF-96F0-F701EF19C12F}"/>
    <hyperlink ref="K8" r:id="rId150" display="aruiz.refax@gmail.com" xr:uid="{9E80D36A-E8BB-4767-B062-E7F32C09E65F}"/>
    <hyperlink ref="K11" r:id="rId151" xr:uid="{922C5DDD-64D1-4DBC-96ED-76EBD3A18098}"/>
    <hyperlink ref="K10" r:id="rId152" xr:uid="{A7E3120F-829E-411A-BFF4-16AE07057007}"/>
    <hyperlink ref="K12" r:id="rId153" xr:uid="{1ABB2092-74EC-4322-8C4A-43709DB6820D}"/>
    <hyperlink ref="K13" r:id="rId154" xr:uid="{4B9631E4-4314-4E6D-8C51-F955A3A1B975}"/>
    <hyperlink ref="K14" r:id="rId155" xr:uid="{595D7EC6-ECD6-451D-9607-BAEFCC1639C1}"/>
    <hyperlink ref="K69" r:id="rId156" xr:uid="{8EEC04F3-EFFD-4486-819B-D749658BFDBE}"/>
    <hyperlink ref="K16" r:id="rId157" xr:uid="{5FA0FE92-4DCA-46D2-B490-F4C79AD4BAB5}"/>
    <hyperlink ref="K18" r:id="rId158" xr:uid="{89601FF1-53AB-41C4-B7BE-7A53961BED70}"/>
    <hyperlink ref="K17" r:id="rId159" xr:uid="{57CE3972-79BF-4303-8A2B-582E0FF4EDE4}"/>
    <hyperlink ref="K19" r:id="rId160" xr:uid="{33C4E334-11CA-45CC-84EC-835F900BBA94}"/>
    <hyperlink ref="K21" r:id="rId161" display="aramirez.refax@gmail.com" xr:uid="{0CA40AC4-2249-41E6-8925-8E51CF91DA3E}"/>
    <hyperlink ref="K22" r:id="rId162" xr:uid="{8AD45FE8-EDDD-4F56-9474-A8796BFA529C}"/>
    <hyperlink ref="K23" r:id="rId163" xr:uid="{5B4D1DF0-7913-4C65-92BD-8F0040A5F9CB}"/>
    <hyperlink ref="K24" r:id="rId164" xr:uid="{012F34E7-4C20-4EEB-B9CF-E5F547ED7565}"/>
    <hyperlink ref="K25" r:id="rId165" xr:uid="{C7691AAC-C1D7-4DCF-85A6-3978532A6C18}"/>
    <hyperlink ref="K26" r:id="rId166" display="cdiaz.refax@gmail.com" xr:uid="{537E385A-CAD8-4C1F-9D4B-D164F94CB21C}"/>
    <hyperlink ref="K28" r:id="rId167" xr:uid="{2B9CB2B9-3C95-4948-B149-29F5440B3471}"/>
    <hyperlink ref="K29" r:id="rId168" xr:uid="{3C7BF162-1617-4E16-A493-D4BDA4E49573}"/>
    <hyperlink ref="K30" r:id="rId169" xr:uid="{D419FE2E-1DE7-4EF8-AFB3-BA62F269E921}"/>
    <hyperlink ref="K32" r:id="rId170" display="aberru.refax@gmail.com" xr:uid="{31ABBF44-E109-49BC-85A2-11164A6AE0C1}"/>
    <hyperlink ref="K33" r:id="rId171" display="dgonia.refax@gmail.com" xr:uid="{5B5BB1F8-CED6-48CE-B19D-8F8054B82F21}"/>
    <hyperlink ref="K34" r:id="rId172" xr:uid="{CC150DE4-6BDB-4A35-8A7E-A373C6BB3C33}"/>
    <hyperlink ref="K35" r:id="rId173" display="dhernandez.refax@gmail.com" xr:uid="{5456BF6D-29D3-4CB7-8B1D-1B576A0F1104}"/>
    <hyperlink ref="K36" r:id="rId174" xr:uid="{CDA0EF5A-BFD2-45FB-BE2E-E68C0CD7DEA2}"/>
    <hyperlink ref="K37" r:id="rId175" xr:uid="{D366FF23-8ECF-4A14-A8F3-41814EA8A419}"/>
    <hyperlink ref="K38" r:id="rId176" xr:uid="{ACFD2B9F-7E09-490A-B643-07560844779E}"/>
    <hyperlink ref="K39" r:id="rId177" xr:uid="{4069BFA6-8160-4364-AD92-8AA11BF73E55}"/>
    <hyperlink ref="K40" r:id="rId178" xr:uid="{FF7C1F1A-FE51-40B5-87CB-292529E7AE70}"/>
    <hyperlink ref="K41" r:id="rId179" xr:uid="{7F9E8A61-6C03-4C3F-ADFF-3D252E9DFDBF}"/>
    <hyperlink ref="K42" r:id="rId180" xr:uid="{69461843-981F-4A15-B054-D27E99533A2E}"/>
    <hyperlink ref="K43" r:id="rId181" xr:uid="{3D947037-DD86-484E-B827-906064AEB568}"/>
    <hyperlink ref="K47" r:id="rId182" xr:uid="{768737E3-23C8-48D3-B0C7-71F8CEFA58AF}"/>
    <hyperlink ref="K48" r:id="rId183" xr:uid="{2925AFD2-F595-49AC-B9F7-7CD8A7D2EB38}"/>
    <hyperlink ref="K49" r:id="rId184" display="asalazar.refax@gmail.com" xr:uid="{7BD2AF47-1952-4544-A30D-51C2935C5618}"/>
    <hyperlink ref="K50" r:id="rId185" display="aotero.refax@gmail.com" xr:uid="{A6D9F4B2-04AE-458E-BD58-843EDCAFAFCC}"/>
    <hyperlink ref="K51" r:id="rId186" xr:uid="{4A7647BA-ABDB-4B2D-AC1A-155CF8AEAFF0}"/>
    <hyperlink ref="K53" r:id="rId187" xr:uid="{0528A019-123E-469E-AB48-9C4587F267C9}"/>
    <hyperlink ref="K54" r:id="rId188" xr:uid="{06246CDF-76C9-41D7-97AA-6F14E071B325}"/>
    <hyperlink ref="K55" r:id="rId189" xr:uid="{F4EE9E2A-5438-4CBE-BB3E-287E74C1AE6A}"/>
    <hyperlink ref="K56" r:id="rId190" xr:uid="{DD5543AF-4465-4C40-81A1-022C6F145B11}"/>
    <hyperlink ref="K57" r:id="rId191" xr:uid="{412FD770-7C9C-4723-98CD-47A225EDD0EA}"/>
    <hyperlink ref="K58" r:id="rId192" xr:uid="{D67B54C5-C0B9-45FB-82F2-4FF7634647AC}"/>
    <hyperlink ref="K59" r:id="rId193" xr:uid="{56BC7408-BD17-4DF6-9A9D-799640BF9CA9}"/>
    <hyperlink ref="K61" r:id="rId194" xr:uid="{537257D9-9800-4288-9358-5F9808883656}"/>
    <hyperlink ref="K60" r:id="rId195" xr:uid="{31400CAD-F890-4687-BA0D-72367A36FFC9}"/>
    <hyperlink ref="K62" r:id="rId196" xr:uid="{859B80D6-6759-40CC-BEF1-60435CADB548}"/>
    <hyperlink ref="K63" r:id="rId197" xr:uid="{C0D237AB-47E0-46C8-8663-9DA8995E7292}"/>
    <hyperlink ref="K64" r:id="rId198" xr:uid="{1C51DCF7-CC23-4DB6-89BA-FC286020D68B}"/>
    <hyperlink ref="K65" r:id="rId199" xr:uid="{83349EDC-C88E-4FB3-9AFC-053FB4E2DBC0}"/>
    <hyperlink ref="K67" r:id="rId200" xr:uid="{FD678E8E-B73E-4FA9-B847-26D0DA3F07A2}"/>
    <hyperlink ref="K66" r:id="rId201" xr:uid="{42A88DC1-2608-49BC-9747-F819AC2FC53C}"/>
    <hyperlink ref="K68" r:id="rId202" xr:uid="{7E5B1D01-6B54-4F7A-9707-C3CAD8D510FD}"/>
    <hyperlink ref="K70" r:id="rId203" xr:uid="{7CC77ED3-E100-4E67-A20F-F8408F9CBA7A}"/>
    <hyperlink ref="K71" r:id="rId204" xr:uid="{44FF5223-F584-442D-9536-6045352BBE20}"/>
    <hyperlink ref="K72" r:id="rId205" xr:uid="{47DDA84E-976F-4D4E-9809-59A4E985E1B3}"/>
    <hyperlink ref="K73" r:id="rId206" xr:uid="{A630D5E6-45D2-4420-8F0F-E188964308D8}"/>
    <hyperlink ref="K74" r:id="rId207" xr:uid="{322567F3-D446-4187-8A52-3A7C507D53C0}"/>
    <hyperlink ref="K75" r:id="rId208" xr:uid="{FE5E5E03-8DF5-46DE-AA6E-488A2812229D}"/>
    <hyperlink ref="K15" r:id="rId209" xr:uid="{A10D513E-9454-4679-9DFA-2426849CA092}"/>
    <hyperlink ref="K76" r:id="rId210" xr:uid="{745F816D-560E-4281-B91C-3C19F46CB56A}"/>
    <hyperlink ref="K77" r:id="rId211" xr:uid="{227F1A40-993D-4494-91AA-82C64701401B}"/>
    <hyperlink ref="K103" r:id="rId212" xr:uid="{B23D5FDB-D47C-422A-BCB3-E472C39E440F}"/>
    <hyperlink ref="K78" r:id="rId213" xr:uid="{9F335405-49A9-4274-86A4-EEAB1615F8FC}"/>
    <hyperlink ref="K80" r:id="rId214" xr:uid="{B818692B-5FA6-4FE7-AA11-994C97F35947}"/>
    <hyperlink ref="K79" r:id="rId215" xr:uid="{8A0429D8-0099-47A0-A57E-7D603242DFCC}"/>
    <hyperlink ref="K81" r:id="rId216" xr:uid="{32224AF2-B178-4071-ACEB-9A1ADC4B37ED}"/>
    <hyperlink ref="K82" r:id="rId217" xr:uid="{B7265AAA-268F-478F-9C99-5547F30B12C1}"/>
    <hyperlink ref="K83" r:id="rId218" xr:uid="{49BBC73A-38BB-41F2-A5EA-A49A89B69F85}"/>
    <hyperlink ref="K85" r:id="rId219" xr:uid="{6A7A70F2-3FE2-4843-B623-6BAB47255F5B}"/>
    <hyperlink ref="K86" r:id="rId220" xr:uid="{09D5D387-9443-41A1-B944-425F3194312D}"/>
    <hyperlink ref="K20" r:id="rId221" xr:uid="{F362A1A2-D2C1-435E-B3D2-07591AEB12F7}"/>
    <hyperlink ref="K87" r:id="rId222" xr:uid="{BB1362E1-21B4-45E6-9334-25C40FE9179B}"/>
    <hyperlink ref="K88" r:id="rId223" xr:uid="{E6BDAD39-1640-4251-9FAA-21C03B9D4B7C}"/>
    <hyperlink ref="K89" r:id="rId224" xr:uid="{9A043850-3D73-40FA-B83D-B730D449154B}"/>
    <hyperlink ref="K90" r:id="rId225" xr:uid="{7F7F30CD-551D-499D-A4A8-DEB78140C97E}"/>
    <hyperlink ref="K91" r:id="rId226" xr:uid="{5169EF2B-AC0F-419D-A495-024E47653C93}"/>
    <hyperlink ref="K92" r:id="rId227" xr:uid="{62CD6C69-7759-41D9-B3B8-8A168291EFF0}"/>
    <hyperlink ref="K93" r:id="rId228" xr:uid="{9EFB83EA-598F-46E1-9870-CA89AA002373}"/>
    <hyperlink ref="K94" r:id="rId229" xr:uid="{627BD131-0EDF-42D7-9A98-2DA97E1C68A8}"/>
    <hyperlink ref="K95" r:id="rId230" xr:uid="{33D9EB18-8EEA-4DC6-A0F3-F30B2F73A951}"/>
    <hyperlink ref="K96" r:id="rId231" xr:uid="{316563DA-3898-4908-A21D-AC19D42E9507}"/>
    <hyperlink ref="K122" r:id="rId232" xr:uid="{0326D34C-FE2D-49F9-A9CC-195877CC2FC4}"/>
    <hyperlink ref="K46" r:id="rId233" display="aaparicio.refax@gmail.com" xr:uid="{7742AB52-A9C6-4AD8-86F2-33A9A44B5D98}"/>
    <hyperlink ref="K97" r:id="rId234" xr:uid="{6B2A4D80-ADED-4CF4-9BC4-2761F554F822}"/>
    <hyperlink ref="K99" r:id="rId235" xr:uid="{0663CAC3-D5B4-4A5B-BDCF-CD1D670EEEF2}"/>
    <hyperlink ref="K98" r:id="rId236" xr:uid="{9A82C5FC-343E-4EE7-A2C3-DBCDC95A45A1}"/>
    <hyperlink ref="K101" r:id="rId237" xr:uid="{E5272046-38EC-4DB3-97C1-F0BA0AAB3E24}"/>
    <hyperlink ref="K100" r:id="rId238" xr:uid="{E0418650-145F-4AE4-A241-DE32AF6B84B3}"/>
    <hyperlink ref="K102" r:id="rId239" xr:uid="{88B5D465-69FE-4012-B7BF-BC0FD0389C69}"/>
    <hyperlink ref="K105" r:id="rId240" display="mromero.refax@gmail.com" xr:uid="{27E1ABC9-8B33-4F72-B3FC-5282925D2E8B}"/>
    <hyperlink ref="K104" r:id="rId241" xr:uid="{494734BA-EAEA-4B58-A4AF-5B98DCBCB617}"/>
    <hyperlink ref="K106" r:id="rId242" xr:uid="{2CAC9764-9022-4A44-BDD0-F9D103A94B82}"/>
    <hyperlink ref="K107" r:id="rId243" xr:uid="{C20EFD29-DF1B-4574-8C7E-C730DF114B2D}"/>
    <hyperlink ref="K137" r:id="rId244" xr:uid="{77A9A5BD-9B96-4EE1-9708-1E397916444C}"/>
    <hyperlink ref="K108" r:id="rId245" xr:uid="{E26E6079-516D-4A9D-8AFD-95E3D730D470}"/>
    <hyperlink ref="K110" r:id="rId246" xr:uid="{5B3118FA-38F9-45BE-BFB2-5AA9DE51D926}"/>
    <hyperlink ref="K109" r:id="rId247" xr:uid="{B9243AF5-2D49-4785-A039-460944CAED11}"/>
    <hyperlink ref="K112" r:id="rId248" xr:uid="{E43EBBD8-CC9B-46F1-9194-6901712C11E9}"/>
    <hyperlink ref="K111" r:id="rId249" display="mapaza.refax@gmail.com" xr:uid="{CED21343-D8D9-4382-A692-884ECF6016C7}"/>
    <hyperlink ref="K114" r:id="rId250" xr:uid="{FABEDC4C-B29A-49B6-8F99-2479C8548AF0}"/>
    <hyperlink ref="K115" r:id="rId251" xr:uid="{503870AF-BC5F-475B-979B-09943B395331}"/>
    <hyperlink ref="K116" r:id="rId252" xr:uid="{83215391-C008-4801-9EB4-15B1043D96DE}"/>
    <hyperlink ref="K117" r:id="rId253" xr:uid="{97118C93-2DF9-4F9B-9D90-3392B98D2C0C}"/>
    <hyperlink ref="K118" r:id="rId254" xr:uid="{89664F6B-8EAA-41AF-8132-F67BF26EE31F}"/>
    <hyperlink ref="K119" r:id="rId255" xr:uid="{5FC55F76-E334-49AE-B35C-634B738A90E4}"/>
    <hyperlink ref="K120" r:id="rId256" xr:uid="{4486D71B-F780-4DCD-8ADF-DCBB818ADF47}"/>
    <hyperlink ref="K121" r:id="rId257" xr:uid="{853A071E-F31E-4B46-AD37-A28E33DCD718}"/>
    <hyperlink ref="K123" r:id="rId258" xr:uid="{12822550-499A-4386-B737-E354B824569D}"/>
    <hyperlink ref="K124" r:id="rId259" xr:uid="{E5F7D14B-65FE-4CB2-B111-841A8AC722D4}"/>
    <hyperlink ref="K125" r:id="rId260" xr:uid="{A142F994-18A8-4B44-8C68-CF85E240FF1A}"/>
    <hyperlink ref="K126" r:id="rId261" xr:uid="{C700A3AE-F15D-438A-AACE-6EB12F7B6D88}"/>
    <hyperlink ref="K128" r:id="rId262" display="anureña.refax@gmail.com" xr:uid="{ACCF7A40-419B-4ED0-9460-F4E9A6232657}"/>
    <hyperlink ref="K127" r:id="rId263" xr:uid="{F63D02EA-C6E3-4058-ABEA-90F78E5E5823}"/>
    <hyperlink ref="K129" r:id="rId264" xr:uid="{EA317786-D58E-4842-AE5E-920AAD90A5BF}"/>
    <hyperlink ref="K130" r:id="rId265" xr:uid="{D77555B1-8107-4C51-9B69-3CAD26BE18CD}"/>
    <hyperlink ref="K131" r:id="rId266" xr:uid="{DB984EA1-1220-45F8-871E-A1F1E83D4516}"/>
    <hyperlink ref="K132" r:id="rId267" xr:uid="{EBCDB419-627E-4E1D-B674-E1A323161535}"/>
    <hyperlink ref="K133" r:id="rId268" xr:uid="{373EC463-6E0A-4589-A20B-589F826D4258}"/>
    <hyperlink ref="K134" r:id="rId269" xr:uid="{425286D1-D79B-4BCE-B031-8FAC8DE567CB}"/>
    <hyperlink ref="K135" r:id="rId270" xr:uid="{D3E10962-908D-4440-9736-2E4CCDCD8829}"/>
    <hyperlink ref="K136" r:id="rId271" xr:uid="{399DF8E8-E672-481C-81FB-6D3552EB4431}"/>
    <hyperlink ref="K138" r:id="rId272" xr:uid="{BCF53137-922A-406C-91AD-5AC6FE5B83D4}"/>
    <hyperlink ref="K139" r:id="rId273" xr:uid="{78B9716D-1F7C-4EE5-B8D8-E1753CD5BFD5}"/>
    <hyperlink ref="K140" r:id="rId274" xr:uid="{9CBAE144-057B-4729-9740-88E08585BCA1}"/>
    <hyperlink ref="K141" r:id="rId275" xr:uid="{51797E78-B17C-4A18-B7C0-AA26F8D7DB46}"/>
    <hyperlink ref="K142" r:id="rId276" xr:uid="{C4E20A9D-364B-452B-B44C-D36E11A2C58C}"/>
    <hyperlink ref="K143" r:id="rId277" xr:uid="{53CCDDB6-5E37-4919-A92D-081414137B5C}"/>
    <hyperlink ref="K144" r:id="rId278" xr:uid="{38C8619D-2F64-4DB5-9D2A-E809D9425D3A}"/>
    <hyperlink ref="K146" r:id="rId279" xr:uid="{B2D42F00-306F-4280-A38C-760824E6E527}"/>
    <hyperlink ref="K147" r:id="rId280" xr:uid="{6593C8DF-1815-4567-B7D4-77ABADDA56E4}"/>
    <hyperlink ref="K148" r:id="rId281" xr:uid="{27A94B8A-88E7-499D-8D31-64F7CCFD0E42}"/>
    <hyperlink ref="K150" r:id="rId282" xr:uid="{EC1CEE7D-1D11-48CC-8BA9-D1B1A9433648}"/>
    <hyperlink ref="K149" r:id="rId283" xr:uid="{4717C982-33F2-47EC-8014-E353602A4B47}"/>
    <hyperlink ref="K151" r:id="rId284" xr:uid="{9CD8BCA8-82E9-416C-8290-E7EAE3040783}"/>
    <hyperlink ref="K152" r:id="rId285" xr:uid="{C6737315-53C6-4878-A9D4-7A88E80B5708}"/>
    <hyperlink ref="J145" r:id="rId286" xr:uid="{E0ABF883-6BEF-4A62-A540-2F0F94457096}"/>
    <hyperlink ref="K145" r:id="rId287" xr:uid="{B70A6FD9-AD74-4706-9ECD-A06D777C4253}"/>
    <hyperlink ref="J84" r:id="rId288" xr:uid="{F9FD574C-4557-443B-9DBE-54E626EBC78A}"/>
    <hyperlink ref="K84" r:id="rId289" xr:uid="{51CA8A6C-1433-4C05-B725-F25502E2794B}"/>
    <hyperlink ref="J3" r:id="rId290" xr:uid="{569F0B83-CC69-4EC8-BB27-A79DBC37A61D}"/>
    <hyperlink ref="J31" r:id="rId291" xr:uid="{3AF8727E-DD7F-49AC-9F64-4981AB348AD7}"/>
    <hyperlink ref="J52" r:id="rId292" xr:uid="{73F25FE9-6A2C-4C7C-9DCE-A3F4E0B5B6EC}"/>
    <hyperlink ref="J113" r:id="rId293" xr:uid="{7EED6FD2-0E01-4B80-A9E7-EB824821BB82}"/>
    <hyperlink ref="K113" r:id="rId294" xr:uid="{3E1A7388-9D55-4827-99C0-40C426A9C80F}"/>
    <hyperlink ref="J45" r:id="rId295" xr:uid="{67E39254-1A14-4750-8F55-7DA62C175229}"/>
    <hyperlink ref="K45" r:id="rId296" xr:uid="{4F6A7798-1B1D-4B67-B18A-8C4B312C1717}"/>
    <hyperlink ref="J27" r:id="rId297" xr:uid="{1B3E3E4D-40B3-4D88-946A-53CE15FE4EB9}"/>
    <hyperlink ref="K27" r:id="rId298" xr:uid="{5E7E17FC-ACFE-4FDD-A70C-A88B26AB67C0}"/>
  </hyperlinks>
  <pageMargins left="0.7" right="0.7" top="0.75" bottom="0.75" header="0.3" footer="0.3"/>
  <tableParts count="1">
    <tablePart r:id="rId29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3AEC-BEF3-4459-B817-A0EB8405DCE5}">
  <dimension ref="A1:G176"/>
  <sheetViews>
    <sheetView workbookViewId="0">
      <selection activeCell="D143" sqref="D143"/>
    </sheetView>
  </sheetViews>
  <sheetFormatPr defaultColWidth="9.140625" defaultRowHeight="15"/>
  <cols>
    <col min="1" max="1" width="12.85546875" customWidth="1"/>
    <col min="2" max="2" width="42.5703125" bestFit="1" customWidth="1"/>
    <col min="3" max="3" width="50.5703125" customWidth="1"/>
    <col min="4" max="4" width="26.28515625" customWidth="1"/>
    <col min="5" max="5" width="12.42578125" customWidth="1"/>
    <col min="6" max="6" width="32.85546875" customWidth="1"/>
    <col min="7" max="7" width="42.5703125" customWidth="1"/>
  </cols>
  <sheetData>
    <row r="1" spans="1:7" ht="25.5" customHeight="1">
      <c r="A1" s="39" t="s">
        <v>766</v>
      </c>
      <c r="B1" s="39" t="s">
        <v>84</v>
      </c>
      <c r="C1" s="39" t="s">
        <v>767</v>
      </c>
      <c r="D1" s="39" t="s">
        <v>87</v>
      </c>
      <c r="E1" s="39" t="s">
        <v>86</v>
      </c>
      <c r="F1" s="39" t="s">
        <v>768</v>
      </c>
      <c r="G1" s="39" t="s">
        <v>769</v>
      </c>
    </row>
    <row r="2" spans="1:7">
      <c r="A2" s="2" t="s">
        <v>770</v>
      </c>
      <c r="B2" s="42" t="s">
        <v>771</v>
      </c>
      <c r="C2" s="2" t="s">
        <v>203</v>
      </c>
      <c r="D2" s="2" t="s">
        <v>40</v>
      </c>
      <c r="E2" s="2" t="s">
        <v>107</v>
      </c>
      <c r="F2" s="2" t="s">
        <v>772</v>
      </c>
      <c r="G2" s="42" t="str">
        <f>UPPER(B2)</f>
        <v>ABREGU VASQUEZ CLAUDIA ALEJANDRA</v>
      </c>
    </row>
    <row r="3" spans="1:7">
      <c r="A3" s="2" t="s">
        <v>773</v>
      </c>
      <c r="B3" s="42" t="s">
        <v>774</v>
      </c>
      <c r="C3" s="2" t="s">
        <v>299</v>
      </c>
      <c r="D3" s="2" t="s">
        <v>25</v>
      </c>
      <c r="E3" s="2" t="s">
        <v>107</v>
      </c>
      <c r="F3" s="2" t="s">
        <v>775</v>
      </c>
      <c r="G3" s="42" t="str">
        <f t="shared" ref="G3:G66" si="0">UPPER(B3)</f>
        <v>ACEVEDO MEDINA ANTHONY</v>
      </c>
    </row>
    <row r="4" spans="1:7">
      <c r="A4" s="2" t="s">
        <v>776</v>
      </c>
      <c r="B4" s="42" t="s">
        <v>777</v>
      </c>
      <c r="C4" s="2" t="s">
        <v>125</v>
      </c>
      <c r="D4" s="2" t="s">
        <v>27</v>
      </c>
      <c r="E4" s="2" t="s">
        <v>107</v>
      </c>
      <c r="F4" s="2" t="s">
        <v>778</v>
      </c>
      <c r="G4" s="42" t="str">
        <f t="shared" si="0"/>
        <v>ACHATA ROQUE EDWIN ALBERTO</v>
      </c>
    </row>
    <row r="5" spans="1:7">
      <c r="A5" s="2" t="s">
        <v>779</v>
      </c>
      <c r="B5" s="42" t="s">
        <v>780</v>
      </c>
      <c r="C5" s="2" t="s">
        <v>125</v>
      </c>
      <c r="D5" s="2" t="s">
        <v>27</v>
      </c>
      <c r="E5" s="2" t="s">
        <v>107</v>
      </c>
      <c r="F5" s="2" t="s">
        <v>781</v>
      </c>
      <c r="G5" s="42" t="str">
        <f t="shared" si="0"/>
        <v>AGUIRRE NUÑEZ CARLOS EMILIO</v>
      </c>
    </row>
    <row r="6" spans="1:7">
      <c r="A6" s="2" t="s">
        <v>782</v>
      </c>
      <c r="B6" s="42" t="s">
        <v>783</v>
      </c>
      <c r="C6" s="2" t="s">
        <v>299</v>
      </c>
      <c r="D6" s="2" t="s">
        <v>25</v>
      </c>
      <c r="E6" s="2" t="s">
        <v>107</v>
      </c>
      <c r="F6" s="2" t="s">
        <v>775</v>
      </c>
      <c r="G6" s="42" t="str">
        <f t="shared" si="0"/>
        <v>AGUIRRE ROJAS JOSE MANUEL</v>
      </c>
    </row>
    <row r="7" spans="1:7">
      <c r="A7" s="2" t="s">
        <v>784</v>
      </c>
      <c r="B7" s="42" t="s">
        <v>785</v>
      </c>
      <c r="C7" s="2" t="s">
        <v>181</v>
      </c>
      <c r="D7" s="2" t="s">
        <v>27</v>
      </c>
      <c r="E7" s="2" t="s">
        <v>107</v>
      </c>
      <c r="F7" s="2" t="s">
        <v>781</v>
      </c>
      <c r="G7" s="42" t="str">
        <f t="shared" si="0"/>
        <v>ALBARRAN VILLASMIL EDGAR ALEJANDRO</v>
      </c>
    </row>
    <row r="8" spans="1:7">
      <c r="A8" s="2" t="s">
        <v>786</v>
      </c>
      <c r="B8" s="42" t="s">
        <v>787</v>
      </c>
      <c r="C8" s="2" t="s">
        <v>131</v>
      </c>
      <c r="D8" s="2" t="s">
        <v>38</v>
      </c>
      <c r="E8" s="2" t="s">
        <v>107</v>
      </c>
      <c r="F8" s="2" t="s">
        <v>788</v>
      </c>
      <c r="G8" s="42" t="str">
        <f t="shared" si="0"/>
        <v>ALBURQUEQUE ARMAS ANAIS SELENE</v>
      </c>
    </row>
    <row r="9" spans="1:7">
      <c r="A9" s="2" t="s">
        <v>789</v>
      </c>
      <c r="B9" s="42" t="s">
        <v>790</v>
      </c>
      <c r="C9" s="2" t="s">
        <v>264</v>
      </c>
      <c r="D9" s="2" t="s">
        <v>39</v>
      </c>
      <c r="E9" s="2" t="s">
        <v>107</v>
      </c>
      <c r="F9" s="2" t="s">
        <v>791</v>
      </c>
      <c r="G9" s="42" t="str">
        <f t="shared" si="0"/>
        <v>ALCA JERI DIEGO ALONSO</v>
      </c>
    </row>
    <row r="10" spans="1:7">
      <c r="A10" s="2" t="s">
        <v>792</v>
      </c>
      <c r="B10" s="42" t="s">
        <v>793</v>
      </c>
      <c r="C10" s="2" t="s">
        <v>794</v>
      </c>
      <c r="D10" s="2" t="s">
        <v>25</v>
      </c>
      <c r="E10" s="2" t="s">
        <v>107</v>
      </c>
      <c r="F10" s="2" t="s">
        <v>775</v>
      </c>
      <c r="G10" s="42" t="str">
        <f t="shared" si="0"/>
        <v>AMASIFUEN SILVA BLAS MARIO</v>
      </c>
    </row>
    <row r="11" spans="1:7">
      <c r="A11" s="2" t="s">
        <v>795</v>
      </c>
      <c r="B11" s="42" t="s">
        <v>796</v>
      </c>
      <c r="C11" s="2" t="s">
        <v>367</v>
      </c>
      <c r="D11" s="2" t="s">
        <v>31</v>
      </c>
      <c r="E11" s="2" t="s">
        <v>107</v>
      </c>
      <c r="F11" s="2" t="s">
        <v>797</v>
      </c>
      <c r="G11" s="42" t="str">
        <f t="shared" si="0"/>
        <v>ANYOSA SALDAÑA RAUL HERACLIDES</v>
      </c>
    </row>
    <row r="12" spans="1:7">
      <c r="A12" s="2" t="s">
        <v>798</v>
      </c>
      <c r="B12" s="42" t="s">
        <v>799</v>
      </c>
      <c r="C12" s="2" t="s">
        <v>307</v>
      </c>
      <c r="D12" s="2" t="s">
        <v>25</v>
      </c>
      <c r="E12" s="2" t="s">
        <v>107</v>
      </c>
      <c r="F12" s="2" t="s">
        <v>775</v>
      </c>
      <c r="G12" s="42" t="str">
        <f t="shared" si="0"/>
        <v>APARICIO SALAZAR LIDIA FABIANA</v>
      </c>
    </row>
    <row r="13" spans="1:7">
      <c r="A13" s="2" t="s">
        <v>800</v>
      </c>
      <c r="B13" s="42" t="s">
        <v>801</v>
      </c>
      <c r="C13" s="2" t="s">
        <v>151</v>
      </c>
      <c r="D13" s="2" t="s">
        <v>22</v>
      </c>
      <c r="E13" s="2" t="s">
        <v>107</v>
      </c>
      <c r="F13" s="2" t="s">
        <v>802</v>
      </c>
      <c r="G13" s="42" t="str">
        <f t="shared" si="0"/>
        <v>APAZA CCORIMANYA EMILY IRENE</v>
      </c>
    </row>
    <row r="14" spans="1:7">
      <c r="A14" s="2" t="s">
        <v>803</v>
      </c>
      <c r="B14" s="42" t="s">
        <v>804</v>
      </c>
      <c r="C14" s="2" t="s">
        <v>141</v>
      </c>
      <c r="D14" s="2" t="s">
        <v>805</v>
      </c>
      <c r="E14" s="2" t="s">
        <v>107</v>
      </c>
      <c r="F14" s="2" t="s">
        <v>806</v>
      </c>
      <c r="G14" s="42" t="str">
        <f t="shared" si="0"/>
        <v>APAZA DELESMA MILAGROS SOLEDAD</v>
      </c>
    </row>
    <row r="15" spans="1:7">
      <c r="A15" s="2" t="s">
        <v>807</v>
      </c>
      <c r="B15" s="42" t="s">
        <v>808</v>
      </c>
      <c r="C15" s="2" t="s">
        <v>330</v>
      </c>
      <c r="D15" s="2" t="s">
        <v>25</v>
      </c>
      <c r="E15" s="2" t="s">
        <v>107</v>
      </c>
      <c r="F15" s="2" t="s">
        <v>775</v>
      </c>
      <c r="G15" s="42" t="str">
        <f t="shared" si="0"/>
        <v>APOLINARIO COCHACHI GERSON GREGORIO</v>
      </c>
    </row>
    <row r="16" spans="1:7">
      <c r="A16" s="2" t="s">
        <v>809</v>
      </c>
      <c r="B16" s="42" t="s">
        <v>810</v>
      </c>
      <c r="C16" s="2" t="s">
        <v>299</v>
      </c>
      <c r="D16" s="2" t="s">
        <v>25</v>
      </c>
      <c r="E16" s="2" t="s">
        <v>107</v>
      </c>
      <c r="F16" s="2" t="s">
        <v>775</v>
      </c>
      <c r="G16" s="42" t="str">
        <f t="shared" si="0"/>
        <v>ARBIETO RAMIREZ CRISTINA</v>
      </c>
    </row>
    <row r="17" spans="1:7">
      <c r="A17" s="2" t="s">
        <v>811</v>
      </c>
      <c r="B17" s="42" t="s">
        <v>812</v>
      </c>
      <c r="C17" s="2" t="s">
        <v>212</v>
      </c>
      <c r="D17" s="2" t="s">
        <v>23</v>
      </c>
      <c r="E17" s="2" t="s">
        <v>107</v>
      </c>
      <c r="F17" s="2" t="s">
        <v>788</v>
      </c>
      <c r="G17" s="42" t="str">
        <f t="shared" si="0"/>
        <v>AREVALO GARRIDO CRISTHIAN DANIEL</v>
      </c>
    </row>
    <row r="18" spans="1:7">
      <c r="A18" s="2">
        <v>29327078</v>
      </c>
      <c r="B18" s="42" t="s">
        <v>813</v>
      </c>
      <c r="C18" s="2" t="s">
        <v>146</v>
      </c>
      <c r="D18" s="2" t="s">
        <v>353</v>
      </c>
      <c r="E18" s="2" t="s">
        <v>107</v>
      </c>
      <c r="F18" s="2" t="s">
        <v>806</v>
      </c>
      <c r="G18" s="42" t="str">
        <f t="shared" si="0"/>
        <v>ARISPE OVIEDO ANDRES FERNANDO</v>
      </c>
    </row>
    <row r="19" spans="1:7">
      <c r="A19" s="2" t="s">
        <v>814</v>
      </c>
      <c r="B19" s="42" t="s">
        <v>815</v>
      </c>
      <c r="C19" s="2" t="s">
        <v>816</v>
      </c>
      <c r="D19" s="2" t="s">
        <v>23</v>
      </c>
      <c r="E19" s="2" t="s">
        <v>107</v>
      </c>
      <c r="F19" s="2" t="s">
        <v>817</v>
      </c>
      <c r="G19" s="42" t="str">
        <f t="shared" si="0"/>
        <v>ATOCHE SILVA JONATHAN ALEXIS</v>
      </c>
    </row>
    <row r="20" spans="1:7">
      <c r="A20" s="2" t="s">
        <v>818</v>
      </c>
      <c r="B20" s="42" t="s">
        <v>819</v>
      </c>
      <c r="C20" s="2" t="s">
        <v>326</v>
      </c>
      <c r="D20" s="2" t="s">
        <v>25</v>
      </c>
      <c r="E20" s="2" t="s">
        <v>107</v>
      </c>
      <c r="F20" s="2" t="s">
        <v>778</v>
      </c>
      <c r="G20" s="42" t="str">
        <f t="shared" si="0"/>
        <v>AÑAZCO DELGADO GERMAN ALONSO</v>
      </c>
    </row>
    <row r="21" spans="1:7">
      <c r="A21" s="2" t="s">
        <v>820</v>
      </c>
      <c r="B21" s="42" t="s">
        <v>821</v>
      </c>
      <c r="C21" s="2" t="s">
        <v>822</v>
      </c>
      <c r="D21" s="2" t="s">
        <v>25</v>
      </c>
      <c r="E21" s="2" t="s">
        <v>107</v>
      </c>
      <c r="F21" s="2" t="s">
        <v>775</v>
      </c>
      <c r="G21" s="42" t="str">
        <f t="shared" si="0"/>
        <v>BARDALES LOPEZ JUAN CHRISTIAN</v>
      </c>
    </row>
    <row r="22" spans="1:7">
      <c r="A22" s="2" t="s">
        <v>823</v>
      </c>
      <c r="B22" s="42" t="s">
        <v>824</v>
      </c>
      <c r="C22" s="2" t="s">
        <v>181</v>
      </c>
      <c r="D22" s="2" t="s">
        <v>27</v>
      </c>
      <c r="E22" s="2" t="s">
        <v>107</v>
      </c>
      <c r="F22" s="2" t="s">
        <v>781</v>
      </c>
      <c r="G22" s="42" t="str">
        <f t="shared" si="0"/>
        <v>BARRANTES RODRIGUEZ CARLOS XAVIER</v>
      </c>
    </row>
    <row r="23" spans="1:7">
      <c r="A23" s="2" t="s">
        <v>825</v>
      </c>
      <c r="B23" s="42" t="s">
        <v>826</v>
      </c>
      <c r="C23" s="2" t="s">
        <v>299</v>
      </c>
      <c r="D23" s="2" t="s">
        <v>25</v>
      </c>
      <c r="E23" s="2" t="s">
        <v>107</v>
      </c>
      <c r="F23" s="2" t="s">
        <v>775</v>
      </c>
      <c r="G23" s="42" t="str">
        <f t="shared" si="0"/>
        <v>BARRANZUELA LOPEZ ERICK ALONSO</v>
      </c>
    </row>
    <row r="24" spans="1:7">
      <c r="A24" s="2" t="s">
        <v>827</v>
      </c>
      <c r="B24" s="42" t="s">
        <v>828</v>
      </c>
      <c r="C24" s="2" t="s">
        <v>125</v>
      </c>
      <c r="D24" s="2" t="s">
        <v>27</v>
      </c>
      <c r="E24" s="2" t="s">
        <v>107</v>
      </c>
      <c r="F24" s="2" t="s">
        <v>781</v>
      </c>
      <c r="G24" s="42" t="str">
        <f t="shared" si="0"/>
        <v>BARRERA BARRERA MAYERLIN MIREYA</v>
      </c>
    </row>
    <row r="25" spans="1:7">
      <c r="A25" s="2" t="s">
        <v>829</v>
      </c>
      <c r="B25" s="42" t="s">
        <v>830</v>
      </c>
      <c r="C25" s="2" t="s">
        <v>831</v>
      </c>
      <c r="D25" s="2" t="s">
        <v>25</v>
      </c>
      <c r="E25" s="2" t="s">
        <v>107</v>
      </c>
      <c r="F25" s="2" t="s">
        <v>775</v>
      </c>
      <c r="G25" s="42" t="str">
        <f t="shared" si="0"/>
        <v>BARRIONUEVO ESPINOZA ABEL CAIN</v>
      </c>
    </row>
    <row r="26" spans="1:7">
      <c r="A26" s="2" t="s">
        <v>832</v>
      </c>
      <c r="B26" s="42" t="s">
        <v>833</v>
      </c>
      <c r="C26" s="2" t="s">
        <v>125</v>
      </c>
      <c r="D26" s="2" t="s">
        <v>27</v>
      </c>
      <c r="E26" s="2" t="s">
        <v>107</v>
      </c>
      <c r="F26" s="2" t="s">
        <v>781</v>
      </c>
      <c r="G26" s="42" t="str">
        <f t="shared" si="0"/>
        <v>BECERRA CUEVA VANESA SOFIA</v>
      </c>
    </row>
    <row r="27" spans="1:7">
      <c r="A27" s="2" t="s">
        <v>834</v>
      </c>
      <c r="B27" s="42" t="s">
        <v>835</v>
      </c>
      <c r="C27" s="2" t="s">
        <v>299</v>
      </c>
      <c r="D27" s="2" t="s">
        <v>25</v>
      </c>
      <c r="E27" s="2" t="s">
        <v>107</v>
      </c>
      <c r="F27" s="2" t="s">
        <v>775</v>
      </c>
      <c r="G27" s="42" t="str">
        <f t="shared" si="0"/>
        <v>BERRU GARCIA DENNIS OMAR</v>
      </c>
    </row>
    <row r="28" spans="1:7">
      <c r="A28" s="2" t="s">
        <v>836</v>
      </c>
      <c r="B28" s="42" t="s">
        <v>837</v>
      </c>
      <c r="C28" s="2" t="s">
        <v>299</v>
      </c>
      <c r="D28" s="2" t="s">
        <v>25</v>
      </c>
      <c r="E28" s="2" t="s">
        <v>107</v>
      </c>
      <c r="F28" s="2" t="s">
        <v>775</v>
      </c>
      <c r="G28" s="42" t="str">
        <f t="shared" si="0"/>
        <v>BOTELLO DIAZ ELIZABETH ROSARIO</v>
      </c>
    </row>
    <row r="29" spans="1:7">
      <c r="A29" s="2" t="s">
        <v>838</v>
      </c>
      <c r="B29" s="42" t="s">
        <v>839</v>
      </c>
      <c r="C29" s="2" t="s">
        <v>125</v>
      </c>
      <c r="D29" s="2" t="s">
        <v>27</v>
      </c>
      <c r="E29" s="2" t="s">
        <v>107</v>
      </c>
      <c r="F29" s="2" t="s">
        <v>778</v>
      </c>
      <c r="G29" s="42" t="str">
        <f t="shared" si="0"/>
        <v>BOTTON REYNA JUAN MANUEL</v>
      </c>
    </row>
    <row r="30" spans="1:7">
      <c r="A30" s="2">
        <v>40189583</v>
      </c>
      <c r="B30" s="42" t="s">
        <v>840</v>
      </c>
      <c r="C30" s="2" t="s">
        <v>643</v>
      </c>
      <c r="D30" s="2" t="s">
        <v>28</v>
      </c>
      <c r="E30" s="2" t="s">
        <v>107</v>
      </c>
      <c r="F30" s="2" t="s">
        <v>841</v>
      </c>
      <c r="G30" s="42" t="str">
        <f t="shared" si="0"/>
        <v>BRAVO PADILLA PAUL RODOLFO</v>
      </c>
    </row>
    <row r="31" spans="1:7">
      <c r="A31" s="2" t="s">
        <v>842</v>
      </c>
      <c r="B31" s="42" t="s">
        <v>843</v>
      </c>
      <c r="C31" s="2" t="s">
        <v>255</v>
      </c>
      <c r="D31" s="2" t="s">
        <v>36</v>
      </c>
      <c r="E31" s="2" t="s">
        <v>107</v>
      </c>
      <c r="F31" s="2" t="s">
        <v>791</v>
      </c>
      <c r="G31" s="42" t="str">
        <f t="shared" si="0"/>
        <v>BROGGI MELLADO DIANA</v>
      </c>
    </row>
    <row r="32" spans="1:7">
      <c r="A32" s="2" t="s">
        <v>844</v>
      </c>
      <c r="B32" s="42" t="s">
        <v>845</v>
      </c>
      <c r="C32" s="2" t="s">
        <v>299</v>
      </c>
      <c r="D32" s="2" t="s">
        <v>25</v>
      </c>
      <c r="E32" s="2" t="s">
        <v>107</v>
      </c>
      <c r="F32" s="2" t="s">
        <v>775</v>
      </c>
      <c r="G32" s="42" t="str">
        <f t="shared" si="0"/>
        <v>BUENO DIAZ BRAYAN JOLBERT</v>
      </c>
    </row>
    <row r="33" spans="1:7">
      <c r="A33" s="2" t="s">
        <v>846</v>
      </c>
      <c r="B33" s="42" t="s">
        <v>847</v>
      </c>
      <c r="C33" s="2" t="s">
        <v>347</v>
      </c>
      <c r="D33" s="2" t="s">
        <v>41</v>
      </c>
      <c r="E33" s="2" t="s">
        <v>107</v>
      </c>
      <c r="F33" s="2" t="s">
        <v>848</v>
      </c>
      <c r="G33" s="42" t="str">
        <f t="shared" si="0"/>
        <v>BUSTOS BUENO GUINA</v>
      </c>
    </row>
    <row r="34" spans="1:7">
      <c r="A34" s="2" t="s">
        <v>849</v>
      </c>
      <c r="B34" s="42" t="s">
        <v>850</v>
      </c>
      <c r="C34" s="2" t="s">
        <v>652</v>
      </c>
      <c r="D34" s="2" t="s">
        <v>25</v>
      </c>
      <c r="E34" s="2" t="s">
        <v>107</v>
      </c>
      <c r="F34" s="2" t="s">
        <v>775</v>
      </c>
      <c r="G34" s="42" t="str">
        <f t="shared" si="0"/>
        <v>CACERES CESPEDES REBECA YSABEL</v>
      </c>
    </row>
    <row r="35" spans="1:7">
      <c r="A35" s="2" t="s">
        <v>851</v>
      </c>
      <c r="B35" s="42" t="s">
        <v>852</v>
      </c>
      <c r="C35" s="2" t="s">
        <v>299</v>
      </c>
      <c r="D35" s="2" t="s">
        <v>25</v>
      </c>
      <c r="E35" s="2" t="s">
        <v>107</v>
      </c>
      <c r="F35" s="2" t="s">
        <v>775</v>
      </c>
      <c r="G35" s="42" t="str">
        <f t="shared" si="0"/>
        <v>CALCINA ANDIA LUIS ALBERTO</v>
      </c>
    </row>
    <row r="36" spans="1:7">
      <c r="A36" s="2" t="s">
        <v>853</v>
      </c>
      <c r="B36" s="42" t="s">
        <v>854</v>
      </c>
      <c r="C36" s="2" t="s">
        <v>97</v>
      </c>
      <c r="D36" s="2" t="s">
        <v>24</v>
      </c>
      <c r="E36" s="2" t="s">
        <v>107</v>
      </c>
      <c r="F36" s="2" t="s">
        <v>855</v>
      </c>
      <c r="G36" s="42" t="str">
        <f t="shared" si="0"/>
        <v>CARBAJAL OCAÑA ROSARIO DEL PILAR</v>
      </c>
    </row>
    <row r="37" spans="1:7">
      <c r="A37" s="2" t="s">
        <v>856</v>
      </c>
      <c r="B37" s="42" t="s">
        <v>857</v>
      </c>
      <c r="C37" s="2" t="s">
        <v>125</v>
      </c>
      <c r="D37" s="2" t="s">
        <v>27</v>
      </c>
      <c r="E37" s="2" t="s">
        <v>107</v>
      </c>
      <c r="F37" s="2" t="s">
        <v>781</v>
      </c>
      <c r="G37" s="42" t="str">
        <f t="shared" si="0"/>
        <v>CARDENAS DEL AGUILA OSWALDO</v>
      </c>
    </row>
    <row r="38" spans="1:7">
      <c r="A38" s="2" t="s">
        <v>858</v>
      </c>
      <c r="B38" s="42" t="s">
        <v>859</v>
      </c>
      <c r="C38" s="2" t="s">
        <v>125</v>
      </c>
      <c r="D38" s="2" t="s">
        <v>27</v>
      </c>
      <c r="E38" s="2" t="s">
        <v>107</v>
      </c>
      <c r="F38" s="2" t="s">
        <v>781</v>
      </c>
      <c r="G38" s="42" t="str">
        <f t="shared" si="0"/>
        <v>CARRASCO CCASA CLAUDIA STEFANY</v>
      </c>
    </row>
    <row r="39" spans="1:7">
      <c r="A39" s="2" t="s">
        <v>860</v>
      </c>
      <c r="B39" s="42" t="s">
        <v>861</v>
      </c>
      <c r="C39" s="2" t="s">
        <v>125</v>
      </c>
      <c r="D39" s="2" t="s">
        <v>27</v>
      </c>
      <c r="E39" s="2" t="s">
        <v>107</v>
      </c>
      <c r="F39" s="2" t="s">
        <v>781</v>
      </c>
      <c r="G39" s="42" t="str">
        <f t="shared" si="0"/>
        <v>CARRERA CERVANTES JORGE ALBERTO</v>
      </c>
    </row>
    <row r="40" spans="1:7">
      <c r="A40" s="2" t="s">
        <v>862</v>
      </c>
      <c r="B40" s="42" t="s">
        <v>863</v>
      </c>
      <c r="C40" s="2" t="s">
        <v>125</v>
      </c>
      <c r="D40" s="2" t="s">
        <v>27</v>
      </c>
      <c r="E40" s="2" t="s">
        <v>107</v>
      </c>
      <c r="F40" s="2" t="s">
        <v>781</v>
      </c>
      <c r="G40" s="42" t="str">
        <f t="shared" si="0"/>
        <v>CASTILLO LOPEZ JOSE LUIS</v>
      </c>
    </row>
    <row r="41" spans="1:7">
      <c r="A41" s="2" t="s">
        <v>864</v>
      </c>
      <c r="B41" s="42" t="s">
        <v>865</v>
      </c>
      <c r="C41" s="2" t="s">
        <v>299</v>
      </c>
      <c r="D41" s="2" t="s">
        <v>25</v>
      </c>
      <c r="E41" s="2" t="s">
        <v>107</v>
      </c>
      <c r="F41" s="2" t="s">
        <v>775</v>
      </c>
      <c r="G41" s="42" t="str">
        <f t="shared" si="0"/>
        <v>CASTRO GONZALES RODRIGO DALESSANDRO</v>
      </c>
    </row>
    <row r="42" spans="1:7">
      <c r="A42" s="2" t="s">
        <v>866</v>
      </c>
      <c r="B42" s="42" t="s">
        <v>867</v>
      </c>
      <c r="C42" s="2" t="s">
        <v>299</v>
      </c>
      <c r="D42" s="2" t="s">
        <v>25</v>
      </c>
      <c r="E42" s="2" t="s">
        <v>107</v>
      </c>
      <c r="F42" s="2" t="s">
        <v>775</v>
      </c>
      <c r="G42" s="42" t="str">
        <f t="shared" si="0"/>
        <v>CASTRO ORDINOLA JAN PAUL</v>
      </c>
    </row>
    <row r="43" spans="1:7">
      <c r="A43" s="2" t="s">
        <v>868</v>
      </c>
      <c r="B43" s="42" t="s">
        <v>869</v>
      </c>
      <c r="C43" s="2" t="s">
        <v>870</v>
      </c>
      <c r="D43" s="2" t="s">
        <v>25</v>
      </c>
      <c r="E43" s="2" t="s">
        <v>107</v>
      </c>
      <c r="F43" s="2" t="s">
        <v>775</v>
      </c>
      <c r="G43" s="42" t="str">
        <f t="shared" si="0"/>
        <v>CAVERO VELA JUAN MANUEL</v>
      </c>
    </row>
    <row r="44" spans="1:7">
      <c r="A44" s="2" t="s">
        <v>871</v>
      </c>
      <c r="B44" s="42" t="s">
        <v>872</v>
      </c>
      <c r="C44" s="2" t="s">
        <v>299</v>
      </c>
      <c r="D44" s="2" t="s">
        <v>25</v>
      </c>
      <c r="E44" s="2" t="s">
        <v>107</v>
      </c>
      <c r="F44" s="2" t="s">
        <v>775</v>
      </c>
      <c r="G44" s="42" t="str">
        <f t="shared" si="0"/>
        <v>CENTENO OBISPO HECTOR MANUEL</v>
      </c>
    </row>
    <row r="45" spans="1:7">
      <c r="A45" s="2" t="s">
        <v>873</v>
      </c>
      <c r="B45" s="42" t="s">
        <v>874</v>
      </c>
      <c r="C45" s="2" t="s">
        <v>299</v>
      </c>
      <c r="D45" s="2" t="s">
        <v>25</v>
      </c>
      <c r="E45" s="2" t="s">
        <v>107</v>
      </c>
      <c r="F45" s="2" t="s">
        <v>775</v>
      </c>
      <c r="G45" s="42" t="str">
        <f t="shared" si="0"/>
        <v>CERON VARGAS EDUARD PAUL</v>
      </c>
    </row>
    <row r="46" spans="1:7">
      <c r="A46" s="2" t="s">
        <v>875</v>
      </c>
      <c r="B46" s="42" t="s">
        <v>876</v>
      </c>
      <c r="C46" s="2" t="s">
        <v>106</v>
      </c>
      <c r="D46" s="2" t="s">
        <v>25</v>
      </c>
      <c r="E46" s="2" t="s">
        <v>107</v>
      </c>
      <c r="F46" s="2" t="s">
        <v>775</v>
      </c>
      <c r="G46" s="42" t="str">
        <f t="shared" si="0"/>
        <v>CHALLCO VELIZ ALEXIS RENZO</v>
      </c>
    </row>
    <row r="47" spans="1:7">
      <c r="A47" s="2" t="s">
        <v>877</v>
      </c>
      <c r="B47" s="42" t="s">
        <v>878</v>
      </c>
      <c r="C47" s="2" t="s">
        <v>125</v>
      </c>
      <c r="D47" s="2" t="s">
        <v>25</v>
      </c>
      <c r="E47" s="2" t="s">
        <v>107</v>
      </c>
      <c r="F47" s="2" t="s">
        <v>778</v>
      </c>
      <c r="G47" s="42" t="str">
        <f t="shared" si="0"/>
        <v>CHAVEZ LOPEZ JONATHAN MARCOS</v>
      </c>
    </row>
    <row r="48" spans="1:7">
      <c r="A48" s="2" t="s">
        <v>879</v>
      </c>
      <c r="B48" s="42" t="s">
        <v>880</v>
      </c>
      <c r="C48" s="2" t="s">
        <v>299</v>
      </c>
      <c r="D48" s="2" t="s">
        <v>25</v>
      </c>
      <c r="E48" s="2" t="s">
        <v>107</v>
      </c>
      <c r="F48" s="2" t="s">
        <v>775</v>
      </c>
      <c r="G48" s="42" t="str">
        <f t="shared" si="0"/>
        <v>CHAVEZ MONTANO JAIME APARICIO</v>
      </c>
    </row>
    <row r="49" spans="1:7">
      <c r="A49" s="2" t="s">
        <v>881</v>
      </c>
      <c r="B49" s="42" t="s">
        <v>882</v>
      </c>
      <c r="C49" s="2" t="s">
        <v>106</v>
      </c>
      <c r="D49" s="2" t="s">
        <v>25</v>
      </c>
      <c r="E49" s="2" t="s">
        <v>107</v>
      </c>
      <c r="F49" s="2" t="s">
        <v>775</v>
      </c>
      <c r="G49" s="42" t="str">
        <f t="shared" si="0"/>
        <v>CHAYGUAQUE CHIRINOS KARLA YSABEL</v>
      </c>
    </row>
    <row r="50" spans="1:7">
      <c r="A50" s="2" t="s">
        <v>883</v>
      </c>
      <c r="B50" s="42" t="s">
        <v>884</v>
      </c>
      <c r="C50" s="2" t="s">
        <v>299</v>
      </c>
      <c r="D50" s="2" t="s">
        <v>25</v>
      </c>
      <c r="E50" s="2" t="s">
        <v>107</v>
      </c>
      <c r="F50" s="2" t="s">
        <v>775</v>
      </c>
      <c r="G50" s="42" t="str">
        <f t="shared" si="0"/>
        <v>CHIRINOS CASTILLO GABRIELA SUSANA</v>
      </c>
    </row>
    <row r="51" spans="1:7">
      <c r="A51" s="2" t="s">
        <v>885</v>
      </c>
      <c r="B51" s="42" t="s">
        <v>886</v>
      </c>
      <c r="C51" s="2" t="s">
        <v>125</v>
      </c>
      <c r="D51" s="2" t="s">
        <v>27</v>
      </c>
      <c r="E51" s="2" t="s">
        <v>107</v>
      </c>
      <c r="F51" s="2" t="s">
        <v>781</v>
      </c>
      <c r="G51" s="42" t="str">
        <f t="shared" si="0"/>
        <v>CHOQUE LEON SHEYLA FIORELLA</v>
      </c>
    </row>
    <row r="52" spans="1:7">
      <c r="A52" s="2" t="s">
        <v>887</v>
      </c>
      <c r="B52" s="42" t="s">
        <v>888</v>
      </c>
      <c r="C52" s="2" t="s">
        <v>125</v>
      </c>
      <c r="D52" s="2" t="s">
        <v>27</v>
      </c>
      <c r="E52" s="2" t="s">
        <v>107</v>
      </c>
      <c r="F52" s="2" t="s">
        <v>781</v>
      </c>
      <c r="G52" s="42" t="str">
        <f t="shared" si="0"/>
        <v>CHUMBES CAMPOS ROGER EFRAIN</v>
      </c>
    </row>
    <row r="53" spans="1:7">
      <c r="A53" s="2" t="s">
        <v>889</v>
      </c>
      <c r="B53" s="42" t="s">
        <v>890</v>
      </c>
      <c r="C53" s="2" t="s">
        <v>299</v>
      </c>
      <c r="D53" s="2" t="s">
        <v>25</v>
      </c>
      <c r="E53" s="2" t="s">
        <v>107</v>
      </c>
      <c r="F53" s="2" t="s">
        <v>775</v>
      </c>
      <c r="G53" s="42" t="str">
        <f t="shared" si="0"/>
        <v>CRISOSTOMO PEREZ JUAN MOISES</v>
      </c>
    </row>
    <row r="54" spans="1:7">
      <c r="A54" s="2" t="s">
        <v>891</v>
      </c>
      <c r="B54" s="42" t="s">
        <v>892</v>
      </c>
      <c r="C54" s="2" t="s">
        <v>119</v>
      </c>
      <c r="D54" s="2" t="s">
        <v>28</v>
      </c>
      <c r="E54" s="2" t="s">
        <v>107</v>
      </c>
      <c r="F54" s="2" t="s">
        <v>841</v>
      </c>
      <c r="G54" s="42" t="str">
        <f t="shared" si="0"/>
        <v>CUBAS TORO ALISSA YASMINE</v>
      </c>
    </row>
    <row r="55" spans="1:7">
      <c r="A55" s="2" t="s">
        <v>893</v>
      </c>
      <c r="B55" s="42" t="s">
        <v>894</v>
      </c>
      <c r="C55" s="2" t="s">
        <v>468</v>
      </c>
      <c r="D55" s="2" t="s">
        <v>31</v>
      </c>
      <c r="E55" s="2" t="s">
        <v>107</v>
      </c>
      <c r="F55" s="2" t="s">
        <v>797</v>
      </c>
      <c r="G55" s="42" t="str">
        <f t="shared" si="0"/>
        <v>CUEVA LÓPEZ JOSÉ RUBÉN</v>
      </c>
    </row>
    <row r="56" spans="1:7">
      <c r="A56" s="2" t="s">
        <v>895</v>
      </c>
      <c r="B56" s="42" t="s">
        <v>896</v>
      </c>
      <c r="C56" s="2" t="s">
        <v>299</v>
      </c>
      <c r="D56" s="2" t="s">
        <v>25</v>
      </c>
      <c r="E56" s="2" t="s">
        <v>107</v>
      </c>
      <c r="F56" s="2" t="s">
        <v>775</v>
      </c>
      <c r="G56" s="42" t="str">
        <f t="shared" si="0"/>
        <v>CUZCANO DE LA CRUZ CARLOS DANIEL</v>
      </c>
    </row>
    <row r="57" spans="1:7">
      <c r="A57" s="2" t="s">
        <v>897</v>
      </c>
      <c r="B57" s="42" t="s">
        <v>898</v>
      </c>
      <c r="C57" s="2" t="s">
        <v>119</v>
      </c>
      <c r="D57" s="2" t="s">
        <v>28</v>
      </c>
      <c r="E57" s="2" t="s">
        <v>107</v>
      </c>
      <c r="F57" s="2" t="s">
        <v>841</v>
      </c>
      <c r="G57" s="42" t="str">
        <f t="shared" si="0"/>
        <v>DEL BUENO ECHE KIMBERLY ANDREA</v>
      </c>
    </row>
    <row r="58" spans="1:7">
      <c r="A58" s="2" t="s">
        <v>899</v>
      </c>
      <c r="B58" s="42" t="s">
        <v>900</v>
      </c>
      <c r="C58" s="2" t="s">
        <v>358</v>
      </c>
      <c r="D58" s="2" t="s">
        <v>805</v>
      </c>
      <c r="E58" s="2" t="s">
        <v>107</v>
      </c>
      <c r="F58" s="2" t="s">
        <v>806</v>
      </c>
      <c r="G58" s="42" t="str">
        <f t="shared" si="0"/>
        <v>DEL CASTILLO VELASCO HECTOR EDUARDO</v>
      </c>
    </row>
    <row r="59" spans="1:7">
      <c r="A59" s="2" t="s">
        <v>901</v>
      </c>
      <c r="B59" s="42" t="s">
        <v>902</v>
      </c>
      <c r="C59" s="2" t="s">
        <v>125</v>
      </c>
      <c r="D59" s="2" t="s">
        <v>27</v>
      </c>
      <c r="E59" s="2" t="s">
        <v>107</v>
      </c>
      <c r="F59" s="2" t="s">
        <v>781</v>
      </c>
      <c r="G59" s="42" t="str">
        <f t="shared" si="0"/>
        <v>DELGADO ARAGON YESSICA PATRICIA</v>
      </c>
    </row>
    <row r="60" spans="1:7">
      <c r="A60" s="2" t="s">
        <v>903</v>
      </c>
      <c r="B60" s="42" t="s">
        <v>904</v>
      </c>
      <c r="C60" s="2" t="s">
        <v>125</v>
      </c>
      <c r="D60" s="2" t="s">
        <v>27</v>
      </c>
      <c r="E60" s="2" t="s">
        <v>107</v>
      </c>
      <c r="F60" s="2" t="s">
        <v>778</v>
      </c>
      <c r="G60" s="42" t="str">
        <f t="shared" si="0"/>
        <v>DIAZ GUARNIZ OSWALDO</v>
      </c>
    </row>
    <row r="61" spans="1:7">
      <c r="A61" s="2" t="s">
        <v>905</v>
      </c>
      <c r="B61" s="42" t="s">
        <v>906</v>
      </c>
      <c r="C61" s="2" t="s">
        <v>299</v>
      </c>
      <c r="D61" s="2" t="s">
        <v>25</v>
      </c>
      <c r="E61" s="2" t="s">
        <v>107</v>
      </c>
      <c r="F61" s="2" t="s">
        <v>775</v>
      </c>
      <c r="G61" s="42" t="str">
        <f t="shared" si="0"/>
        <v>DIAZ LA ROSA ANGELICA MARIA</v>
      </c>
    </row>
    <row r="62" spans="1:7">
      <c r="A62" s="2" t="s">
        <v>907</v>
      </c>
      <c r="B62" s="42" t="s">
        <v>908</v>
      </c>
      <c r="C62" s="2" t="s">
        <v>608</v>
      </c>
      <c r="D62" s="2" t="s">
        <v>25</v>
      </c>
      <c r="E62" s="2" t="s">
        <v>107</v>
      </c>
      <c r="F62" s="2" t="s">
        <v>909</v>
      </c>
      <c r="G62" s="42" t="str">
        <f t="shared" si="0"/>
        <v>DIAZ MIGUEL MOISES AGUSTIN</v>
      </c>
    </row>
    <row r="63" spans="1:7">
      <c r="A63" s="2" t="s">
        <v>910</v>
      </c>
      <c r="B63" s="42" t="s">
        <v>911</v>
      </c>
      <c r="C63" s="2" t="s">
        <v>299</v>
      </c>
      <c r="D63" s="2" t="s">
        <v>25</v>
      </c>
      <c r="E63" s="2" t="s">
        <v>107</v>
      </c>
      <c r="F63" s="2" t="s">
        <v>775</v>
      </c>
      <c r="G63" s="42" t="str">
        <f t="shared" si="0"/>
        <v>DIAZ PERALTA CRISTIAN JAVIER</v>
      </c>
    </row>
    <row r="64" spans="1:7">
      <c r="A64" s="2" t="s">
        <v>912</v>
      </c>
      <c r="B64" s="42" t="s">
        <v>913</v>
      </c>
      <c r="C64" s="2" t="s">
        <v>141</v>
      </c>
      <c r="D64" s="2" t="s">
        <v>805</v>
      </c>
      <c r="E64" s="2" t="s">
        <v>107</v>
      </c>
      <c r="F64" s="2" t="s">
        <v>806</v>
      </c>
      <c r="G64" s="42" t="str">
        <f t="shared" si="0"/>
        <v>DIAZ PONCE CRISTINA ELIZABETH</v>
      </c>
    </row>
    <row r="65" spans="1:7">
      <c r="A65" s="2" t="s">
        <v>914</v>
      </c>
      <c r="B65" s="42" t="s">
        <v>915</v>
      </c>
      <c r="C65" s="2" t="s">
        <v>299</v>
      </c>
      <c r="D65" s="2" t="s">
        <v>25</v>
      </c>
      <c r="E65" s="2" t="s">
        <v>107</v>
      </c>
      <c r="F65" s="2" t="s">
        <v>775</v>
      </c>
      <c r="G65" s="42" t="str">
        <f t="shared" si="0"/>
        <v>ESPINOZA HURTADO DIEGO ARMANDO</v>
      </c>
    </row>
    <row r="66" spans="1:7">
      <c r="A66" s="2" t="s">
        <v>916</v>
      </c>
      <c r="B66" s="42" t="s">
        <v>917</v>
      </c>
      <c r="C66" s="2" t="s">
        <v>534</v>
      </c>
      <c r="D66" s="2" t="s">
        <v>39</v>
      </c>
      <c r="E66" s="2" t="s">
        <v>107</v>
      </c>
      <c r="F66" s="2" t="s">
        <v>791</v>
      </c>
      <c r="G66" s="42" t="str">
        <f t="shared" si="0"/>
        <v>ESTRELLA CASTILLO LUIS ENRIQUE</v>
      </c>
    </row>
    <row r="67" spans="1:7">
      <c r="A67" s="2" t="s">
        <v>918</v>
      </c>
      <c r="B67" s="42" t="s">
        <v>919</v>
      </c>
      <c r="C67" s="2" t="s">
        <v>299</v>
      </c>
      <c r="D67" s="2" t="s">
        <v>25</v>
      </c>
      <c r="E67" s="2" t="s">
        <v>107</v>
      </c>
      <c r="F67" s="2" t="s">
        <v>775</v>
      </c>
      <c r="G67" s="42" t="str">
        <f t="shared" ref="G67:G130" si="1">UPPER(B67)</f>
        <v>FALCON LOSTANAU JOSE EDUARDO</v>
      </c>
    </row>
    <row r="68" spans="1:7">
      <c r="A68" s="2" t="s">
        <v>920</v>
      </c>
      <c r="B68" s="42" t="s">
        <v>921</v>
      </c>
      <c r="C68" s="2" t="s">
        <v>125</v>
      </c>
      <c r="D68" s="2" t="s">
        <v>27</v>
      </c>
      <c r="E68" s="2" t="s">
        <v>107</v>
      </c>
      <c r="F68" s="2" t="s">
        <v>778</v>
      </c>
      <c r="G68" s="42" t="str">
        <f t="shared" si="1"/>
        <v>FLORES IBAÑEZ JIMMY JAVIER</v>
      </c>
    </row>
    <row r="69" spans="1:7">
      <c r="A69" s="2" t="s">
        <v>922</v>
      </c>
      <c r="B69" s="42" t="s">
        <v>923</v>
      </c>
      <c r="C69" s="2" t="s">
        <v>358</v>
      </c>
      <c r="D69" s="2" t="s">
        <v>805</v>
      </c>
      <c r="E69" s="2" t="s">
        <v>107</v>
      </c>
      <c r="F69" s="2" t="s">
        <v>806</v>
      </c>
      <c r="G69" s="42" t="str">
        <f t="shared" si="1"/>
        <v>FLORES NUÑEZ MANUEL</v>
      </c>
    </row>
    <row r="70" spans="1:7">
      <c r="A70" s="2" t="s">
        <v>924</v>
      </c>
      <c r="B70" s="42" t="s">
        <v>925</v>
      </c>
      <c r="C70" s="2" t="s">
        <v>629</v>
      </c>
      <c r="D70" s="2" t="s">
        <v>31</v>
      </c>
      <c r="E70" s="2" t="s">
        <v>107</v>
      </c>
      <c r="F70" s="2" t="s">
        <v>797</v>
      </c>
      <c r="G70" s="42" t="str">
        <f t="shared" si="1"/>
        <v>GARCIA MEZA PALMIRA CLOTILDE</v>
      </c>
    </row>
    <row r="71" spans="1:7">
      <c r="A71" s="2" t="s">
        <v>926</v>
      </c>
      <c r="B71" s="42" t="s">
        <v>927</v>
      </c>
      <c r="C71" s="2" t="s">
        <v>299</v>
      </c>
      <c r="D71" s="2" t="s">
        <v>25</v>
      </c>
      <c r="E71" s="2" t="s">
        <v>107</v>
      </c>
      <c r="F71" s="2" t="s">
        <v>775</v>
      </c>
      <c r="G71" s="42" t="str">
        <f t="shared" si="1"/>
        <v>GARCIA VIDAURE PEDRO DANIEL</v>
      </c>
    </row>
    <row r="72" spans="1:7">
      <c r="A72" s="2" t="s">
        <v>928</v>
      </c>
      <c r="B72" s="42" t="s">
        <v>929</v>
      </c>
      <c r="C72" s="2" t="s">
        <v>299</v>
      </c>
      <c r="D72" s="2" t="s">
        <v>25</v>
      </c>
      <c r="E72" s="2" t="s">
        <v>107</v>
      </c>
      <c r="F72" s="2" t="s">
        <v>775</v>
      </c>
      <c r="G72" s="42" t="str">
        <f t="shared" si="1"/>
        <v>GARRIAZO GARIBAY ERICK JESUS</v>
      </c>
    </row>
    <row r="73" spans="1:7">
      <c r="A73" s="2" t="s">
        <v>930</v>
      </c>
      <c r="B73" s="42" t="s">
        <v>931</v>
      </c>
      <c r="C73" s="2" t="s">
        <v>141</v>
      </c>
      <c r="D73" s="2" t="s">
        <v>805</v>
      </c>
      <c r="E73" s="2" t="s">
        <v>107</v>
      </c>
      <c r="F73" s="2" t="s">
        <v>806</v>
      </c>
      <c r="G73" s="42" t="str">
        <f t="shared" si="1"/>
        <v>GONIA CURIOSO DENNIZ MERCEDES</v>
      </c>
    </row>
    <row r="74" spans="1:7">
      <c r="A74" s="2" t="s">
        <v>932</v>
      </c>
      <c r="B74" s="42" t="s">
        <v>933</v>
      </c>
      <c r="C74" s="2" t="s">
        <v>125</v>
      </c>
      <c r="D74" s="2" t="s">
        <v>27</v>
      </c>
      <c r="E74" s="2" t="s">
        <v>107</v>
      </c>
      <c r="F74" s="2" t="s">
        <v>781</v>
      </c>
      <c r="G74" s="42" t="str">
        <f t="shared" si="1"/>
        <v>GUTIERREZ GALLEGOS JOEL FRANCISCO</v>
      </c>
    </row>
    <row r="75" spans="1:7">
      <c r="A75" s="2" t="s">
        <v>934</v>
      </c>
      <c r="B75" s="42" t="s">
        <v>935</v>
      </c>
      <c r="C75" s="2" t="s">
        <v>181</v>
      </c>
      <c r="D75" s="2" t="s">
        <v>27</v>
      </c>
      <c r="E75" s="2" t="s">
        <v>107</v>
      </c>
      <c r="F75" s="2" t="s">
        <v>781</v>
      </c>
      <c r="G75" s="42" t="str">
        <f t="shared" si="1"/>
        <v>GUTIERREZ HUARANCCA IVAN DAVID</v>
      </c>
    </row>
    <row r="76" spans="1:7">
      <c r="A76" s="2" t="s">
        <v>936</v>
      </c>
      <c r="B76" s="42" t="s">
        <v>937</v>
      </c>
      <c r="C76" s="2" t="s">
        <v>125</v>
      </c>
      <c r="D76" s="2" t="s">
        <v>27</v>
      </c>
      <c r="E76" s="2" t="s">
        <v>107</v>
      </c>
      <c r="F76" s="2" t="s">
        <v>781</v>
      </c>
      <c r="G76" s="42" t="str">
        <f t="shared" si="1"/>
        <v>GUTIERREZ HUARANCCA MILNIE MANUEL</v>
      </c>
    </row>
    <row r="77" spans="1:7">
      <c r="A77" s="2" t="s">
        <v>938</v>
      </c>
      <c r="B77" s="42" t="s">
        <v>939</v>
      </c>
      <c r="C77" s="2" t="s">
        <v>940</v>
      </c>
      <c r="D77" s="2" t="s">
        <v>25</v>
      </c>
      <c r="E77" s="2" t="s">
        <v>107</v>
      </c>
      <c r="F77" s="2" t="s">
        <v>909</v>
      </c>
      <c r="G77" s="42" t="str">
        <f t="shared" si="1"/>
        <v>HARO CAYCHO DIEGO FABRICIO</v>
      </c>
    </row>
    <row r="78" spans="1:7">
      <c r="A78" s="2" t="s">
        <v>941</v>
      </c>
      <c r="B78" s="42" t="s">
        <v>942</v>
      </c>
      <c r="C78" s="2" t="s">
        <v>125</v>
      </c>
      <c r="D78" s="2" t="s">
        <v>27</v>
      </c>
      <c r="E78" s="2" t="s">
        <v>107</v>
      </c>
      <c r="F78" s="2" t="s">
        <v>781</v>
      </c>
      <c r="G78" s="42" t="str">
        <f t="shared" si="1"/>
        <v>HERMOZA PAIVA JOEL</v>
      </c>
    </row>
    <row r="79" spans="1:7">
      <c r="A79" s="2" t="s">
        <v>943</v>
      </c>
      <c r="B79" s="42" t="s">
        <v>944</v>
      </c>
      <c r="C79" s="2" t="s">
        <v>945</v>
      </c>
      <c r="D79" s="2" t="s">
        <v>31</v>
      </c>
      <c r="E79" s="2" t="s">
        <v>107</v>
      </c>
      <c r="F79" s="2" t="s">
        <v>797</v>
      </c>
      <c r="G79" s="42" t="str">
        <f t="shared" si="1"/>
        <v>HERNANDEZ BACON DIANA LUCIA</v>
      </c>
    </row>
    <row r="80" spans="1:7">
      <c r="A80" s="2" t="s">
        <v>946</v>
      </c>
      <c r="B80" s="42" t="s">
        <v>947</v>
      </c>
      <c r="C80" s="2" t="s">
        <v>948</v>
      </c>
      <c r="D80" s="2" t="s">
        <v>24</v>
      </c>
      <c r="E80" s="2" t="s">
        <v>107</v>
      </c>
      <c r="F80" s="2" t="s">
        <v>855</v>
      </c>
      <c r="G80" s="42" t="str">
        <f t="shared" si="1"/>
        <v>HIDALGO CADILLO ENRIQUE MARTIN</v>
      </c>
    </row>
    <row r="81" spans="1:7">
      <c r="A81" s="2" t="s">
        <v>949</v>
      </c>
      <c r="B81" s="42" t="s">
        <v>950</v>
      </c>
      <c r="C81" s="2" t="s">
        <v>831</v>
      </c>
      <c r="D81" s="2" t="s">
        <v>25</v>
      </c>
      <c r="E81" s="2" t="s">
        <v>107</v>
      </c>
      <c r="F81" s="2" t="s">
        <v>775</v>
      </c>
      <c r="G81" s="42" t="str">
        <f t="shared" si="1"/>
        <v>HOYOS REQUE ALEXANDER PAUL</v>
      </c>
    </row>
    <row r="82" spans="1:7">
      <c r="A82" s="2" t="s">
        <v>951</v>
      </c>
      <c r="B82" s="42" t="s">
        <v>952</v>
      </c>
      <c r="C82" s="2" t="s">
        <v>125</v>
      </c>
      <c r="D82" s="2" t="s">
        <v>27</v>
      </c>
      <c r="E82" s="2" t="s">
        <v>107</v>
      </c>
      <c r="F82" s="2" t="s">
        <v>781</v>
      </c>
      <c r="G82" s="42" t="str">
        <f t="shared" si="1"/>
        <v>HUAMAN ALLCCA RENZO WILMAN</v>
      </c>
    </row>
    <row r="83" spans="1:7">
      <c r="A83" s="2" t="s">
        <v>714</v>
      </c>
      <c r="B83" s="42" t="s">
        <v>953</v>
      </c>
      <c r="C83" s="2" t="s">
        <v>125</v>
      </c>
      <c r="D83" s="2" t="s">
        <v>27</v>
      </c>
      <c r="E83" s="2" t="s">
        <v>107</v>
      </c>
      <c r="F83" s="2" t="s">
        <v>781</v>
      </c>
      <c r="G83" s="42" t="str">
        <f t="shared" si="1"/>
        <v>HUAPAYA YATACO SUSSAN ALICE</v>
      </c>
    </row>
    <row r="84" spans="1:7">
      <c r="A84" s="2" t="s">
        <v>954</v>
      </c>
      <c r="B84" s="42" t="s">
        <v>955</v>
      </c>
      <c r="C84" s="2" t="s">
        <v>125</v>
      </c>
      <c r="D84" s="2" t="s">
        <v>27</v>
      </c>
      <c r="E84" s="2" t="s">
        <v>107</v>
      </c>
      <c r="F84" s="2" t="s">
        <v>778</v>
      </c>
      <c r="G84" s="42" t="str">
        <f t="shared" si="1"/>
        <v>HURTADO LEONARDO JIM DEREC</v>
      </c>
    </row>
    <row r="85" spans="1:7">
      <c r="A85" s="2" t="s">
        <v>956</v>
      </c>
      <c r="B85" s="42" t="s">
        <v>957</v>
      </c>
      <c r="C85" s="2" t="s">
        <v>125</v>
      </c>
      <c r="D85" s="2" t="s">
        <v>27</v>
      </c>
      <c r="E85" s="2" t="s">
        <v>107</v>
      </c>
      <c r="F85" s="2" t="s">
        <v>781</v>
      </c>
      <c r="G85" s="42" t="str">
        <f t="shared" si="1"/>
        <v>INFANTES CAMPOS RICARDO MANUEL</v>
      </c>
    </row>
    <row r="86" spans="1:7">
      <c r="A86" s="2" t="s">
        <v>958</v>
      </c>
      <c r="B86" s="42" t="s">
        <v>959</v>
      </c>
      <c r="C86" s="2" t="s">
        <v>940</v>
      </c>
      <c r="D86" s="2" t="s">
        <v>25</v>
      </c>
      <c r="E86" s="2" t="s">
        <v>107</v>
      </c>
      <c r="F86" s="2" t="s">
        <v>909</v>
      </c>
      <c r="G86" s="42" t="str">
        <f t="shared" si="1"/>
        <v>ISUIZA ZAVALETA CHEBERLITH</v>
      </c>
    </row>
    <row r="87" spans="1:7">
      <c r="A87" s="2" t="s">
        <v>960</v>
      </c>
      <c r="B87" s="42" t="s">
        <v>961</v>
      </c>
      <c r="C87" s="2" t="s">
        <v>125</v>
      </c>
      <c r="D87" s="2" t="s">
        <v>27</v>
      </c>
      <c r="E87" s="2" t="s">
        <v>107</v>
      </c>
      <c r="F87" s="2" t="s">
        <v>781</v>
      </c>
      <c r="G87" s="42" t="str">
        <f t="shared" si="1"/>
        <v>JOAQUIN SANCHEZ MARTHA SAYURI MILAGROS</v>
      </c>
    </row>
    <row r="88" spans="1:7">
      <c r="A88" s="2" t="s">
        <v>962</v>
      </c>
      <c r="B88" s="42" t="s">
        <v>963</v>
      </c>
      <c r="C88" s="2" t="s">
        <v>964</v>
      </c>
      <c r="D88" s="2" t="s">
        <v>25</v>
      </c>
      <c r="E88" s="2" t="s">
        <v>107</v>
      </c>
      <c r="F88" s="2" t="s">
        <v>775</v>
      </c>
      <c r="G88" s="42" t="str">
        <f t="shared" si="1"/>
        <v>JUAREZ CHINCHAY HUGO SANTIAGO</v>
      </c>
    </row>
    <row r="89" spans="1:7">
      <c r="A89" s="2" t="s">
        <v>965</v>
      </c>
      <c r="B89" s="42" t="s">
        <v>966</v>
      </c>
      <c r="C89" s="2" t="s">
        <v>125</v>
      </c>
      <c r="D89" s="2" t="s">
        <v>27</v>
      </c>
      <c r="E89" s="2" t="s">
        <v>107</v>
      </c>
      <c r="F89" s="2" t="s">
        <v>781</v>
      </c>
      <c r="G89" s="42" t="str">
        <f t="shared" si="1"/>
        <v>JUAREZ CONCHA HECTOR MANUEL</v>
      </c>
    </row>
    <row r="90" spans="1:7">
      <c r="A90" s="2" t="s">
        <v>967</v>
      </c>
      <c r="B90" s="42" t="s">
        <v>968</v>
      </c>
      <c r="C90" s="2" t="s">
        <v>969</v>
      </c>
      <c r="D90" s="2" t="s">
        <v>40</v>
      </c>
      <c r="E90" s="2" t="s">
        <v>107</v>
      </c>
      <c r="F90" s="2" t="s">
        <v>772</v>
      </c>
      <c r="G90" s="42" t="str">
        <f t="shared" si="1"/>
        <v>LAURENTE HUAMAN FABIOLA NICOLE</v>
      </c>
    </row>
    <row r="91" spans="1:7">
      <c r="A91" s="2" t="s">
        <v>970</v>
      </c>
      <c r="B91" s="42" t="s">
        <v>971</v>
      </c>
      <c r="C91" s="2" t="s">
        <v>595</v>
      </c>
      <c r="D91" s="2" t="s">
        <v>27</v>
      </c>
      <c r="E91" s="2" t="s">
        <v>107</v>
      </c>
      <c r="F91" s="2" t="s">
        <v>778</v>
      </c>
      <c r="G91" s="42" t="str">
        <f t="shared" si="1"/>
        <v>LECCA ESPINOZA URSULA REBECA</v>
      </c>
    </row>
    <row r="92" spans="1:7">
      <c r="A92" s="2" t="s">
        <v>972</v>
      </c>
      <c r="B92" s="42" t="s">
        <v>973</v>
      </c>
      <c r="C92" s="2" t="s">
        <v>974</v>
      </c>
      <c r="D92" s="2" t="s">
        <v>28</v>
      </c>
      <c r="E92" s="2" t="s">
        <v>107</v>
      </c>
      <c r="F92" s="2" t="s">
        <v>841</v>
      </c>
      <c r="G92" s="42" t="str">
        <f t="shared" si="1"/>
        <v>LLUEN BURGA ALICIA FRANCHESCA</v>
      </c>
    </row>
    <row r="93" spans="1:7">
      <c r="A93" s="2" t="s">
        <v>975</v>
      </c>
      <c r="B93" s="42" t="s">
        <v>976</v>
      </c>
      <c r="C93" s="2" t="s">
        <v>299</v>
      </c>
      <c r="D93" s="2" t="s">
        <v>25</v>
      </c>
      <c r="E93" s="2" t="s">
        <v>107</v>
      </c>
      <c r="F93" s="2" t="s">
        <v>775</v>
      </c>
      <c r="G93" s="42" t="str">
        <f t="shared" si="1"/>
        <v>LOPEZ RIVAS LIZA NAYELI</v>
      </c>
    </row>
    <row r="94" spans="1:7">
      <c r="A94" s="2" t="s">
        <v>977</v>
      </c>
      <c r="B94" s="42" t="s">
        <v>978</v>
      </c>
      <c r="C94" s="2" t="s">
        <v>299</v>
      </c>
      <c r="D94" s="2" t="s">
        <v>25</v>
      </c>
      <c r="E94" s="2" t="s">
        <v>107</v>
      </c>
      <c r="F94" s="2" t="s">
        <v>775</v>
      </c>
      <c r="G94" s="42" t="str">
        <f t="shared" si="1"/>
        <v>LOPEZ VILLAR MARCELO JOAQUIN</v>
      </c>
    </row>
    <row r="95" spans="1:7">
      <c r="A95" s="2" t="s">
        <v>979</v>
      </c>
      <c r="B95" s="42" t="s">
        <v>980</v>
      </c>
      <c r="C95" s="2" t="s">
        <v>299</v>
      </c>
      <c r="D95" s="2" t="s">
        <v>25</v>
      </c>
      <c r="E95" s="2" t="s">
        <v>107</v>
      </c>
      <c r="F95" s="2" t="s">
        <v>775</v>
      </c>
      <c r="G95" s="42" t="str">
        <f t="shared" si="1"/>
        <v>LUCERO JARA NICOLAS ALONZO</v>
      </c>
    </row>
    <row r="96" spans="1:7">
      <c r="A96" s="2" t="s">
        <v>981</v>
      </c>
      <c r="B96" s="42" t="s">
        <v>982</v>
      </c>
      <c r="C96" s="2" t="s">
        <v>299</v>
      </c>
      <c r="D96" s="2" t="s">
        <v>25</v>
      </c>
      <c r="E96" s="2" t="s">
        <v>107</v>
      </c>
      <c r="F96" s="2" t="s">
        <v>775</v>
      </c>
      <c r="G96" s="42" t="str">
        <f t="shared" si="1"/>
        <v>LUME CHAVEZ RENZO JOEL</v>
      </c>
    </row>
    <row r="97" spans="1:7">
      <c r="A97" s="2" t="s">
        <v>983</v>
      </c>
      <c r="B97" s="42" t="s">
        <v>984</v>
      </c>
      <c r="C97" s="2" t="s">
        <v>125</v>
      </c>
      <c r="D97" s="2" t="s">
        <v>27</v>
      </c>
      <c r="E97" s="2" t="s">
        <v>107</v>
      </c>
      <c r="F97" s="2" t="s">
        <v>781</v>
      </c>
      <c r="G97" s="42" t="str">
        <f t="shared" si="1"/>
        <v>MALCA CANCHARI GUILLERMO EDUARDO</v>
      </c>
    </row>
    <row r="98" spans="1:7">
      <c r="A98" s="2" t="s">
        <v>985</v>
      </c>
      <c r="B98" s="42" t="s">
        <v>986</v>
      </c>
      <c r="C98" s="2" t="s">
        <v>125</v>
      </c>
      <c r="D98" s="2" t="s">
        <v>27</v>
      </c>
      <c r="E98" s="2" t="s">
        <v>107</v>
      </c>
      <c r="F98" s="2" t="s">
        <v>781</v>
      </c>
      <c r="G98" s="42" t="str">
        <f t="shared" si="1"/>
        <v>MALCA MACHUCA ANA MARIXA</v>
      </c>
    </row>
    <row r="99" spans="1:7">
      <c r="A99" s="2" t="s">
        <v>987</v>
      </c>
      <c r="B99" s="42" t="s">
        <v>988</v>
      </c>
      <c r="C99" s="2" t="s">
        <v>579</v>
      </c>
      <c r="D99" s="2" t="s">
        <v>25</v>
      </c>
      <c r="E99" s="2" t="s">
        <v>107</v>
      </c>
      <c r="F99" s="2" t="s">
        <v>775</v>
      </c>
      <c r="G99" s="42" t="str">
        <f t="shared" si="1"/>
        <v>MALPARTIDA CAMPOS MAYRA ROSA</v>
      </c>
    </row>
    <row r="100" spans="1:7">
      <c r="A100" s="2" t="s">
        <v>989</v>
      </c>
      <c r="B100" s="42" t="s">
        <v>990</v>
      </c>
      <c r="C100" s="2" t="s">
        <v>299</v>
      </c>
      <c r="D100" s="2" t="s">
        <v>25</v>
      </c>
      <c r="E100" s="2" t="s">
        <v>107</v>
      </c>
      <c r="F100" s="2" t="s">
        <v>775</v>
      </c>
      <c r="G100" s="42" t="str">
        <f t="shared" si="1"/>
        <v>MARCHAN GONZALEZ LUZ MARINA</v>
      </c>
    </row>
    <row r="101" spans="1:7">
      <c r="A101" s="2" t="s">
        <v>991</v>
      </c>
      <c r="B101" s="42" t="s">
        <v>992</v>
      </c>
      <c r="C101" s="2" t="s">
        <v>993</v>
      </c>
      <c r="D101" s="2" t="s">
        <v>25</v>
      </c>
      <c r="E101" s="2" t="s">
        <v>107</v>
      </c>
      <c r="F101" s="2" t="s">
        <v>775</v>
      </c>
      <c r="G101" s="42" t="str">
        <f t="shared" si="1"/>
        <v>MARTINEZ GALVEZ WILLIAM LUIS</v>
      </c>
    </row>
    <row r="102" spans="1:7">
      <c r="A102" s="2" t="s">
        <v>994</v>
      </c>
      <c r="B102" s="42" t="s">
        <v>995</v>
      </c>
      <c r="C102" s="2" t="s">
        <v>97</v>
      </c>
      <c r="D102" s="2" t="s">
        <v>24</v>
      </c>
      <c r="E102" s="2" t="s">
        <v>107</v>
      </c>
      <c r="F102" s="2" t="s">
        <v>855</v>
      </c>
      <c r="G102" s="42" t="str">
        <f t="shared" si="1"/>
        <v>MARTINEZ GONZALES ELIANA DEL CARMEN</v>
      </c>
    </row>
    <row r="103" spans="1:7">
      <c r="A103" s="2" t="s">
        <v>996</v>
      </c>
      <c r="B103" s="42" t="s">
        <v>997</v>
      </c>
      <c r="C103" s="2" t="s">
        <v>151</v>
      </c>
      <c r="D103" s="2" t="s">
        <v>22</v>
      </c>
      <c r="E103" s="2" t="s">
        <v>107</v>
      </c>
      <c r="F103" s="2" t="s">
        <v>802</v>
      </c>
      <c r="G103" s="42" t="str">
        <f t="shared" si="1"/>
        <v>MARÍN  YENNY YUBISAY</v>
      </c>
    </row>
    <row r="104" spans="1:7">
      <c r="A104" s="2" t="s">
        <v>998</v>
      </c>
      <c r="B104" s="42" t="s">
        <v>999</v>
      </c>
      <c r="C104" s="2" t="s">
        <v>451</v>
      </c>
      <c r="D104" s="2" t="s">
        <v>25</v>
      </c>
      <c r="E104" s="2" t="s">
        <v>107</v>
      </c>
      <c r="F104" s="2" t="s">
        <v>775</v>
      </c>
      <c r="G104" s="42" t="str">
        <f t="shared" si="1"/>
        <v>MINAYA CAMPUSANO JORGE LUIS</v>
      </c>
    </row>
    <row r="105" spans="1:7">
      <c r="A105" s="2" t="s">
        <v>1000</v>
      </c>
      <c r="B105" s="42" t="s">
        <v>1001</v>
      </c>
      <c r="C105" s="2" t="s">
        <v>151</v>
      </c>
      <c r="D105" s="2" t="s">
        <v>22</v>
      </c>
      <c r="E105" s="2" t="s">
        <v>107</v>
      </c>
      <c r="F105" s="2" t="s">
        <v>802</v>
      </c>
      <c r="G105" s="42" t="str">
        <f t="shared" si="1"/>
        <v>MOGOLLON RAMIREZ JAVIER</v>
      </c>
    </row>
    <row r="106" spans="1:7">
      <c r="A106" s="2" t="s">
        <v>1002</v>
      </c>
      <c r="B106" s="42" t="s">
        <v>1003</v>
      </c>
      <c r="C106" s="2" t="s">
        <v>125</v>
      </c>
      <c r="D106" s="2" t="s">
        <v>27</v>
      </c>
      <c r="E106" s="2" t="s">
        <v>107</v>
      </c>
      <c r="F106" s="2" t="s">
        <v>781</v>
      </c>
      <c r="G106" s="42" t="str">
        <f t="shared" si="1"/>
        <v>MONGE IPARRAGUIRRE OSMAR CRISTOFER</v>
      </c>
    </row>
    <row r="107" spans="1:7">
      <c r="A107" s="2" t="s">
        <v>1004</v>
      </c>
      <c r="B107" s="42" t="s">
        <v>1005</v>
      </c>
      <c r="C107" s="2" t="s">
        <v>125</v>
      </c>
      <c r="D107" s="2" t="s">
        <v>27</v>
      </c>
      <c r="E107" s="2" t="s">
        <v>107</v>
      </c>
      <c r="F107" s="2" t="s">
        <v>781</v>
      </c>
      <c r="G107" s="42" t="str">
        <f t="shared" si="1"/>
        <v>MORI SUAREZ MARIA ELENA</v>
      </c>
    </row>
    <row r="108" spans="1:7">
      <c r="A108" s="2" t="s">
        <v>1006</v>
      </c>
      <c r="B108" s="42" t="s">
        <v>1007</v>
      </c>
      <c r="C108" s="2" t="s">
        <v>406</v>
      </c>
      <c r="D108" s="2" t="s">
        <v>22</v>
      </c>
      <c r="E108" s="2" t="s">
        <v>107</v>
      </c>
      <c r="F108" s="2" t="s">
        <v>802</v>
      </c>
      <c r="G108" s="42" t="str">
        <f t="shared" si="1"/>
        <v>MOSQUERA SALAZAR BEERCELY JAZMIN DEL ROSARIO</v>
      </c>
    </row>
    <row r="109" spans="1:7">
      <c r="A109" s="2" t="s">
        <v>1008</v>
      </c>
      <c r="B109" s="42" t="s">
        <v>1009</v>
      </c>
      <c r="C109" s="2" t="s">
        <v>125</v>
      </c>
      <c r="D109" s="2" t="s">
        <v>27</v>
      </c>
      <c r="E109" s="2" t="s">
        <v>107</v>
      </c>
      <c r="F109" s="2" t="s">
        <v>778</v>
      </c>
      <c r="G109" s="42" t="str">
        <f t="shared" si="1"/>
        <v>NAKAZAKI ZAPATA JUAN VICTOR</v>
      </c>
    </row>
    <row r="110" spans="1:7">
      <c r="A110" s="2" t="s">
        <v>1010</v>
      </c>
      <c r="B110" s="42" t="s">
        <v>1011</v>
      </c>
      <c r="C110" s="2" t="s">
        <v>352</v>
      </c>
      <c r="D110" s="2" t="s">
        <v>353</v>
      </c>
      <c r="E110" s="2" t="s">
        <v>107</v>
      </c>
      <c r="F110" s="2" t="s">
        <v>817</v>
      </c>
      <c r="G110" s="42" t="str">
        <f t="shared" si="1"/>
        <v>NAVA ZAMORA GUSTAVO ADOLFO</v>
      </c>
    </row>
    <row r="111" spans="1:7">
      <c r="A111" s="2" t="s">
        <v>1012</v>
      </c>
      <c r="B111" s="42" t="s">
        <v>1013</v>
      </c>
      <c r="C111" s="2" t="s">
        <v>125</v>
      </c>
      <c r="D111" s="2" t="s">
        <v>27</v>
      </c>
      <c r="E111" s="2" t="s">
        <v>107</v>
      </c>
      <c r="F111" s="2" t="s">
        <v>781</v>
      </c>
      <c r="G111" s="42" t="str">
        <f t="shared" si="1"/>
        <v>NEYRA RETO LUIS DAVIS</v>
      </c>
    </row>
    <row r="112" spans="1:7">
      <c r="A112" s="2" t="s">
        <v>1014</v>
      </c>
      <c r="B112" s="42" t="s">
        <v>1015</v>
      </c>
      <c r="C112" s="2" t="s">
        <v>661</v>
      </c>
      <c r="D112" s="2" t="s">
        <v>805</v>
      </c>
      <c r="E112" s="2" t="s">
        <v>107</v>
      </c>
      <c r="F112" s="2" t="s">
        <v>806</v>
      </c>
      <c r="G112" s="42" t="str">
        <f t="shared" si="1"/>
        <v>NUREÑA NORIEGA RENZO EDDIE</v>
      </c>
    </row>
    <row r="113" spans="1:7">
      <c r="A113" s="2" t="s">
        <v>1016</v>
      </c>
      <c r="B113" s="42" t="s">
        <v>1017</v>
      </c>
      <c r="C113" s="2" t="s">
        <v>125</v>
      </c>
      <c r="D113" s="2" t="s">
        <v>27</v>
      </c>
      <c r="E113" s="2" t="s">
        <v>107</v>
      </c>
      <c r="F113" s="2" t="s">
        <v>781</v>
      </c>
      <c r="G113" s="42" t="str">
        <f t="shared" si="1"/>
        <v>OBREGON VILLEGAS SUSSAN</v>
      </c>
    </row>
    <row r="114" spans="1:7">
      <c r="A114" s="2" t="s">
        <v>1018</v>
      </c>
      <c r="B114" s="42" t="s">
        <v>1019</v>
      </c>
      <c r="C114" s="2" t="s">
        <v>299</v>
      </c>
      <c r="D114" s="2" t="s">
        <v>25</v>
      </c>
      <c r="E114" s="2" t="s">
        <v>107</v>
      </c>
      <c r="F114" s="2" t="s">
        <v>775</v>
      </c>
      <c r="G114" s="42" t="str">
        <f t="shared" si="1"/>
        <v>ORTIZ ARELLANO MARTHA YULIANA</v>
      </c>
    </row>
    <row r="115" spans="1:7">
      <c r="A115" s="2" t="s">
        <v>1020</v>
      </c>
      <c r="B115" s="42" t="s">
        <v>1021</v>
      </c>
      <c r="C115" s="2" t="s">
        <v>322</v>
      </c>
      <c r="D115" s="2" t="s">
        <v>353</v>
      </c>
      <c r="E115" s="2" t="s">
        <v>107</v>
      </c>
      <c r="F115" s="2" t="s">
        <v>817</v>
      </c>
      <c r="G115" s="42" t="str">
        <f t="shared" si="1"/>
        <v>OTERO RAMIREZ FRANCISCO DE PAULA</v>
      </c>
    </row>
    <row r="116" spans="1:7">
      <c r="A116" s="2" t="s">
        <v>1022</v>
      </c>
      <c r="B116" s="42" t="s">
        <v>1023</v>
      </c>
      <c r="C116" s="2" t="s">
        <v>125</v>
      </c>
      <c r="D116" s="2" t="s">
        <v>27</v>
      </c>
      <c r="E116" s="2" t="s">
        <v>107</v>
      </c>
      <c r="F116" s="2" t="s">
        <v>778</v>
      </c>
      <c r="G116" s="42" t="str">
        <f t="shared" si="1"/>
        <v>PARDO ASTOCAZA DE ALARCON DIONISIA ALODIA</v>
      </c>
    </row>
    <row r="117" spans="1:7">
      <c r="A117" s="2" t="s">
        <v>1024</v>
      </c>
      <c r="B117" s="42" t="s">
        <v>1025</v>
      </c>
      <c r="C117" s="2" t="s">
        <v>125</v>
      </c>
      <c r="D117" s="2" t="s">
        <v>27</v>
      </c>
      <c r="E117" s="2" t="s">
        <v>107</v>
      </c>
      <c r="F117" s="2" t="s">
        <v>781</v>
      </c>
      <c r="G117" s="42" t="str">
        <f t="shared" si="1"/>
        <v>PAYVA BALDEÓN PAOLA ARACELLY</v>
      </c>
    </row>
    <row r="118" spans="1:7">
      <c r="A118" s="2" t="s">
        <v>1026</v>
      </c>
      <c r="B118" s="42" t="s">
        <v>1027</v>
      </c>
      <c r="C118" s="2" t="s">
        <v>125</v>
      </c>
      <c r="D118" s="2" t="s">
        <v>27</v>
      </c>
      <c r="E118" s="2" t="s">
        <v>107</v>
      </c>
      <c r="F118" s="2" t="s">
        <v>781</v>
      </c>
      <c r="G118" s="42" t="str">
        <f t="shared" si="1"/>
        <v>PEREZ CASTILLO KATHERINNE YANETSI</v>
      </c>
    </row>
    <row r="119" spans="1:7">
      <c r="A119" s="2" t="s">
        <v>1028</v>
      </c>
      <c r="B119" s="42" t="s">
        <v>1029</v>
      </c>
      <c r="C119" s="2" t="s">
        <v>125</v>
      </c>
      <c r="D119" s="2" t="s">
        <v>27</v>
      </c>
      <c r="E119" s="2" t="s">
        <v>107</v>
      </c>
      <c r="F119" s="2" t="s">
        <v>778</v>
      </c>
      <c r="G119" s="42" t="str">
        <f t="shared" si="1"/>
        <v>PEREZ GIRON JOSE WILMER</v>
      </c>
    </row>
    <row r="120" spans="1:7">
      <c r="A120" s="2" t="s">
        <v>1030</v>
      </c>
      <c r="B120" s="42" t="s">
        <v>1031</v>
      </c>
      <c r="C120" s="2" t="s">
        <v>299</v>
      </c>
      <c r="D120" s="2" t="s">
        <v>25</v>
      </c>
      <c r="E120" s="2" t="s">
        <v>107</v>
      </c>
      <c r="F120" s="2" t="s">
        <v>775</v>
      </c>
      <c r="G120" s="42" t="str">
        <f t="shared" si="1"/>
        <v>PEREZ TAIPE RONALD</v>
      </c>
    </row>
    <row r="121" spans="1:7">
      <c r="A121" s="2" t="s">
        <v>1032</v>
      </c>
      <c r="B121" s="42" t="s">
        <v>1033</v>
      </c>
      <c r="C121" s="2" t="s">
        <v>151</v>
      </c>
      <c r="D121" s="2" t="s">
        <v>22</v>
      </c>
      <c r="E121" s="2" t="s">
        <v>107</v>
      </c>
      <c r="F121" s="2" t="s">
        <v>802</v>
      </c>
      <c r="G121" s="42" t="str">
        <f t="shared" si="1"/>
        <v>PHILIPPS BUENO CAROLINA CINTHIA</v>
      </c>
    </row>
    <row r="122" spans="1:7">
      <c r="A122" s="2" t="s">
        <v>1034</v>
      </c>
      <c r="B122" s="42" t="s">
        <v>1035</v>
      </c>
      <c r="C122" s="2" t="s">
        <v>687</v>
      </c>
      <c r="D122" s="2" t="s">
        <v>31</v>
      </c>
      <c r="E122" s="2" t="s">
        <v>107</v>
      </c>
      <c r="F122" s="2" t="s">
        <v>797</v>
      </c>
      <c r="G122" s="42" t="str">
        <f t="shared" si="1"/>
        <v>PILLACA JANAMPA ROSSMARY SARITA</v>
      </c>
    </row>
    <row r="123" spans="1:7">
      <c r="A123" s="2" t="s">
        <v>1036</v>
      </c>
      <c r="B123" s="42" t="s">
        <v>1037</v>
      </c>
      <c r="C123" s="2" t="s">
        <v>125</v>
      </c>
      <c r="D123" s="2" t="s">
        <v>27</v>
      </c>
      <c r="E123" s="2" t="s">
        <v>107</v>
      </c>
      <c r="F123" s="2" t="s">
        <v>781</v>
      </c>
      <c r="G123" s="42" t="str">
        <f t="shared" si="1"/>
        <v>PINEDA SANCHEZ MIRIAM VIVIANA</v>
      </c>
    </row>
    <row r="124" spans="1:7">
      <c r="A124" s="2" t="s">
        <v>1038</v>
      </c>
      <c r="B124" s="42" t="s">
        <v>1039</v>
      </c>
      <c r="C124" s="2" t="s">
        <v>97</v>
      </c>
      <c r="D124" s="2" t="s">
        <v>24</v>
      </c>
      <c r="E124" s="2" t="s">
        <v>107</v>
      </c>
      <c r="F124" s="2" t="s">
        <v>855</v>
      </c>
      <c r="G124" s="42" t="str">
        <f t="shared" si="1"/>
        <v>PINEDO SEMINARIO VIVIANA</v>
      </c>
    </row>
    <row r="125" spans="1:7">
      <c r="A125" s="2">
        <v>40579445</v>
      </c>
      <c r="B125" s="42" t="s">
        <v>1040</v>
      </c>
      <c r="C125" s="2" t="s">
        <v>97</v>
      </c>
      <c r="D125" s="2" t="s">
        <v>24</v>
      </c>
      <c r="E125" s="2" t="s">
        <v>107</v>
      </c>
      <c r="F125" s="2" t="s">
        <v>855</v>
      </c>
      <c r="G125" s="42" t="str">
        <f t="shared" si="1"/>
        <v>PLASENCIA JARA MARICARMEN</v>
      </c>
    </row>
    <row r="126" spans="1:7">
      <c r="A126" s="2" t="s">
        <v>1041</v>
      </c>
      <c r="B126" s="42" t="s">
        <v>1042</v>
      </c>
      <c r="C126" s="2" t="s">
        <v>125</v>
      </c>
      <c r="D126" s="2" t="s">
        <v>27</v>
      </c>
      <c r="E126" s="2" t="s">
        <v>107</v>
      </c>
      <c r="F126" s="2" t="s">
        <v>781</v>
      </c>
      <c r="G126" s="42" t="str">
        <f t="shared" si="1"/>
        <v>PRADO ROMAN NICANOR SIMON</v>
      </c>
    </row>
    <row r="127" spans="1:7">
      <c r="A127" s="2" t="s">
        <v>1043</v>
      </c>
      <c r="B127" s="42" t="s">
        <v>1044</v>
      </c>
      <c r="C127" s="2" t="s">
        <v>97</v>
      </c>
      <c r="D127" s="2" t="s">
        <v>24</v>
      </c>
      <c r="E127" s="2" t="s">
        <v>107</v>
      </c>
      <c r="F127" s="2" t="s">
        <v>855</v>
      </c>
      <c r="G127" s="42" t="str">
        <f t="shared" si="1"/>
        <v>QUEZADA NORIEGA ALEJANDRA DANIELA</v>
      </c>
    </row>
    <row r="128" spans="1:7">
      <c r="A128" s="2" t="s">
        <v>1045</v>
      </c>
      <c r="B128" s="42" t="s">
        <v>1046</v>
      </c>
      <c r="C128" s="2" t="s">
        <v>199</v>
      </c>
      <c r="D128" s="2" t="s">
        <v>42</v>
      </c>
      <c r="E128" s="2" t="s">
        <v>107</v>
      </c>
      <c r="F128" s="2" t="s">
        <v>1047</v>
      </c>
      <c r="G128" s="42" t="str">
        <f t="shared" si="1"/>
        <v>RAMIREZ RAMOS CHRISTIAN SEGUNDO</v>
      </c>
    </row>
    <row r="129" spans="1:7">
      <c r="A129" s="2" t="s">
        <v>1048</v>
      </c>
      <c r="B129" s="42" t="s">
        <v>1049</v>
      </c>
      <c r="C129" s="2" t="s">
        <v>151</v>
      </c>
      <c r="D129" s="2" t="s">
        <v>22</v>
      </c>
      <c r="E129" s="2" t="s">
        <v>107</v>
      </c>
      <c r="F129" s="2" t="s">
        <v>802</v>
      </c>
      <c r="G129" s="42" t="str">
        <f t="shared" si="1"/>
        <v>REVOLLEDO SOLIS SISSY DOMINIQUE</v>
      </c>
    </row>
    <row r="130" spans="1:7">
      <c r="A130" s="2" t="s">
        <v>1050</v>
      </c>
      <c r="B130" s="42" t="s">
        <v>1051</v>
      </c>
      <c r="C130" s="2" t="s">
        <v>151</v>
      </c>
      <c r="D130" s="2" t="s">
        <v>22</v>
      </c>
      <c r="E130" s="2" t="s">
        <v>107</v>
      </c>
      <c r="F130" s="2" t="s">
        <v>802</v>
      </c>
      <c r="G130" s="42" t="str">
        <f t="shared" si="1"/>
        <v>REYNA VASQUEZ KATIA GERALDINE</v>
      </c>
    </row>
    <row r="131" spans="1:7">
      <c r="A131" s="2" t="s">
        <v>1052</v>
      </c>
      <c r="B131" s="42" t="s">
        <v>1053</v>
      </c>
      <c r="C131" s="2" t="s">
        <v>1054</v>
      </c>
      <c r="D131" s="2" t="s">
        <v>27</v>
      </c>
      <c r="E131" s="2" t="s">
        <v>107</v>
      </c>
      <c r="F131" s="2" t="s">
        <v>778</v>
      </c>
      <c r="G131" s="42" t="str">
        <f t="shared" ref="G131:G176" si="2">UPPER(B131)</f>
        <v>ROJAS ANAMPA KATHERIN ESTHER</v>
      </c>
    </row>
    <row r="132" spans="1:7">
      <c r="A132" s="2" t="s">
        <v>1055</v>
      </c>
      <c r="B132" s="42" t="s">
        <v>1056</v>
      </c>
      <c r="C132" s="2" t="s">
        <v>299</v>
      </c>
      <c r="D132" s="2" t="s">
        <v>25</v>
      </c>
      <c r="E132" s="2" t="s">
        <v>107</v>
      </c>
      <c r="F132" s="2" t="s">
        <v>775</v>
      </c>
      <c r="G132" s="42" t="str">
        <f t="shared" si="2"/>
        <v>ROJAS CAPCHA DANIEL HERACLIO</v>
      </c>
    </row>
    <row r="133" spans="1:7">
      <c r="A133" s="2" t="s">
        <v>1057</v>
      </c>
      <c r="B133" s="42" t="s">
        <v>1058</v>
      </c>
      <c r="C133" s="2" t="s">
        <v>125</v>
      </c>
      <c r="D133" s="2" t="s">
        <v>27</v>
      </c>
      <c r="E133" s="2" t="s">
        <v>107</v>
      </c>
      <c r="F133" s="2" t="s">
        <v>781</v>
      </c>
      <c r="G133" s="42" t="str">
        <f t="shared" si="2"/>
        <v>ROJAS PIZANGO DANIEL</v>
      </c>
    </row>
    <row r="134" spans="1:7">
      <c r="A134" s="2">
        <v>44920515</v>
      </c>
      <c r="B134" s="42" t="s">
        <v>1059</v>
      </c>
      <c r="C134" s="2" t="s">
        <v>141</v>
      </c>
      <c r="D134" s="2" t="s">
        <v>805</v>
      </c>
      <c r="E134" s="2" t="s">
        <v>107</v>
      </c>
      <c r="F134" s="2" t="s">
        <v>806</v>
      </c>
      <c r="G134" s="42" t="str">
        <f t="shared" si="2"/>
        <v>ROMERO CHUNGA MARIA DEL PILAR</v>
      </c>
    </row>
    <row r="135" spans="1:7">
      <c r="A135" s="2" t="s">
        <v>1060</v>
      </c>
      <c r="B135" s="42" t="s">
        <v>1061</v>
      </c>
      <c r="C135" s="2" t="s">
        <v>482</v>
      </c>
      <c r="D135" s="2" t="s">
        <v>353</v>
      </c>
      <c r="E135" s="2" t="s">
        <v>107</v>
      </c>
      <c r="F135" s="2" t="s">
        <v>817</v>
      </c>
      <c r="G135" s="42" t="str">
        <f t="shared" si="2"/>
        <v>RUIZ ALZAMORA JOSEPH ADRIAN</v>
      </c>
    </row>
    <row r="136" spans="1:7">
      <c r="A136" s="2" t="s">
        <v>1062</v>
      </c>
      <c r="B136" s="42" t="s">
        <v>1063</v>
      </c>
      <c r="C136" s="2" t="s">
        <v>299</v>
      </c>
      <c r="D136" s="2" t="s">
        <v>25</v>
      </c>
      <c r="E136" s="2" t="s">
        <v>107</v>
      </c>
      <c r="F136" s="2" t="s">
        <v>775</v>
      </c>
      <c r="G136" s="42" t="str">
        <f t="shared" si="2"/>
        <v>RUIZ MARAVI ANDREA MILAGROS</v>
      </c>
    </row>
    <row r="137" spans="1:7">
      <c r="A137" s="2" t="s">
        <v>1064</v>
      </c>
      <c r="B137" s="42" t="s">
        <v>1065</v>
      </c>
      <c r="C137" s="2" t="s">
        <v>125</v>
      </c>
      <c r="D137" s="2" t="s">
        <v>27</v>
      </c>
      <c r="E137" s="2" t="s">
        <v>107</v>
      </c>
      <c r="F137" s="2" t="s">
        <v>778</v>
      </c>
      <c r="G137" s="42" t="str">
        <f t="shared" si="2"/>
        <v>RUIZ RAMIREZ CRISTIAN EDUARDO</v>
      </c>
    </row>
    <row r="138" spans="1:7">
      <c r="A138" s="2" t="s">
        <v>1066</v>
      </c>
      <c r="B138" s="42" t="s">
        <v>1067</v>
      </c>
      <c r="C138" s="2" t="s">
        <v>746</v>
      </c>
      <c r="D138" s="2" t="s">
        <v>27</v>
      </c>
      <c r="E138" s="2" t="s">
        <v>107</v>
      </c>
      <c r="F138" s="2" t="s">
        <v>778</v>
      </c>
      <c r="G138" s="42" t="str">
        <f t="shared" si="2"/>
        <v>RUIZ RAMIREZ WALTER OLARDIN</v>
      </c>
    </row>
    <row r="139" spans="1:7">
      <c r="A139" s="2" t="s">
        <v>1068</v>
      </c>
      <c r="B139" s="42" t="s">
        <v>1069</v>
      </c>
      <c r="C139" s="2" t="s">
        <v>125</v>
      </c>
      <c r="D139" s="2" t="s">
        <v>27</v>
      </c>
      <c r="E139" s="2" t="s">
        <v>107</v>
      </c>
      <c r="F139" s="2" t="s">
        <v>781</v>
      </c>
      <c r="G139" s="42" t="str">
        <f t="shared" si="2"/>
        <v>RUIZ TORRES ROGER</v>
      </c>
    </row>
    <row r="140" spans="1:7">
      <c r="A140" s="2" t="s">
        <v>1070</v>
      </c>
      <c r="B140" s="42" t="s">
        <v>1071</v>
      </c>
      <c r="C140" s="2" t="s">
        <v>151</v>
      </c>
      <c r="D140" s="2" t="s">
        <v>22</v>
      </c>
      <c r="E140" s="2" t="s">
        <v>107</v>
      </c>
      <c r="F140" s="2" t="s">
        <v>802</v>
      </c>
      <c r="G140" s="42" t="str">
        <f t="shared" si="2"/>
        <v>SAAVEDRA CABREJOS LAHISA PAMELA</v>
      </c>
    </row>
    <row r="141" spans="1:7">
      <c r="A141" s="2" t="s">
        <v>1072</v>
      </c>
      <c r="B141" s="42" t="s">
        <v>1073</v>
      </c>
      <c r="C141" s="2" t="s">
        <v>97</v>
      </c>
      <c r="D141" s="2" t="s">
        <v>24</v>
      </c>
      <c r="E141" s="2" t="s">
        <v>107</v>
      </c>
      <c r="F141" s="2" t="s">
        <v>855</v>
      </c>
      <c r="G141" s="42" t="str">
        <f t="shared" si="2"/>
        <v>SAER RIOS LOURDES OFELIA</v>
      </c>
    </row>
    <row r="142" spans="1:7">
      <c r="A142" s="2">
        <v>9562343</v>
      </c>
      <c r="B142" s="42" t="s">
        <v>1074</v>
      </c>
      <c r="C142" s="2" t="s">
        <v>670</v>
      </c>
      <c r="D142" s="2" t="s">
        <v>353</v>
      </c>
      <c r="E142" s="2" t="s">
        <v>107</v>
      </c>
      <c r="F142" s="2" t="s">
        <v>1075</v>
      </c>
      <c r="G142" s="42" t="str">
        <f t="shared" si="2"/>
        <v>SALAZAR ROJO RICHARD EDWING</v>
      </c>
    </row>
    <row r="143" spans="1:7">
      <c r="A143" s="2" t="s">
        <v>1076</v>
      </c>
      <c r="B143" s="42" t="s">
        <v>1077</v>
      </c>
      <c r="C143" s="2" t="s">
        <v>299</v>
      </c>
      <c r="D143" s="2" t="s">
        <v>25</v>
      </c>
      <c r="E143" s="2" t="s">
        <v>107</v>
      </c>
      <c r="F143" s="2" t="s">
        <v>775</v>
      </c>
      <c r="G143" s="42" t="str">
        <f t="shared" si="2"/>
        <v>SANCHEZ CONDE MARTIN MIGUEL</v>
      </c>
    </row>
    <row r="144" spans="1:7">
      <c r="A144" s="2" t="s">
        <v>1078</v>
      </c>
      <c r="B144" s="42" t="s">
        <v>1079</v>
      </c>
      <c r="C144" s="2" t="s">
        <v>181</v>
      </c>
      <c r="D144" s="2" t="s">
        <v>27</v>
      </c>
      <c r="E144" s="2" t="s">
        <v>107</v>
      </c>
      <c r="F144" s="2" t="s">
        <v>781</v>
      </c>
      <c r="G144" s="42" t="str">
        <f t="shared" si="2"/>
        <v>SANDOVAL GUILLERMO CARLOS ENRIQUE</v>
      </c>
    </row>
    <row r="145" spans="1:7">
      <c r="A145" s="2" t="s">
        <v>1080</v>
      </c>
      <c r="B145" s="42" t="s">
        <v>1081</v>
      </c>
      <c r="C145" s="2" t="s">
        <v>299</v>
      </c>
      <c r="D145" s="2" t="s">
        <v>25</v>
      </c>
      <c r="E145" s="2" t="s">
        <v>107</v>
      </c>
      <c r="F145" s="2" t="s">
        <v>775</v>
      </c>
      <c r="G145" s="42" t="str">
        <f t="shared" si="2"/>
        <v>SANTOS HIDALGO JOSUE LUIS</v>
      </c>
    </row>
    <row r="146" spans="1:7">
      <c r="A146" s="2" t="s">
        <v>1082</v>
      </c>
      <c r="B146" s="42" t="s">
        <v>1083</v>
      </c>
      <c r="C146" s="2" t="s">
        <v>97</v>
      </c>
      <c r="D146" s="2" t="s">
        <v>24</v>
      </c>
      <c r="E146" s="2" t="s">
        <v>107</v>
      </c>
      <c r="F146" s="2" t="s">
        <v>855</v>
      </c>
      <c r="G146" s="42" t="str">
        <f t="shared" si="2"/>
        <v>SANTOS PORLLES MAYRA ROCIO</v>
      </c>
    </row>
    <row r="147" spans="1:7">
      <c r="A147" s="2" t="s">
        <v>1084</v>
      </c>
      <c r="B147" s="42" t="s">
        <v>1085</v>
      </c>
      <c r="C147" s="2" t="s">
        <v>831</v>
      </c>
      <c r="D147" s="2" t="s">
        <v>25</v>
      </c>
      <c r="E147" s="2" t="s">
        <v>107</v>
      </c>
      <c r="F147" s="2" t="s">
        <v>775</v>
      </c>
      <c r="G147" s="42" t="str">
        <f t="shared" si="2"/>
        <v>SATALAYA INUMA JERRY JORDAN</v>
      </c>
    </row>
    <row r="148" spans="1:7">
      <c r="A148" s="2" t="s">
        <v>1086</v>
      </c>
      <c r="B148" s="42" t="s">
        <v>1087</v>
      </c>
      <c r="C148" s="2" t="s">
        <v>26</v>
      </c>
      <c r="D148" s="2" t="s">
        <v>39</v>
      </c>
      <c r="E148" s="2" t="s">
        <v>107</v>
      </c>
      <c r="F148" s="2" t="s">
        <v>791</v>
      </c>
      <c r="G148" s="42" t="str">
        <f t="shared" si="2"/>
        <v>SERQUEN PASTOR DANNEL ROBERTO</v>
      </c>
    </row>
    <row r="149" spans="1:7">
      <c r="A149" s="2" t="s">
        <v>1088</v>
      </c>
      <c r="B149" s="42" t="s">
        <v>1089</v>
      </c>
      <c r="C149" s="2" t="s">
        <v>1090</v>
      </c>
      <c r="D149" s="2" t="s">
        <v>41</v>
      </c>
      <c r="E149" s="2" t="s">
        <v>107</v>
      </c>
      <c r="F149" s="2" t="s">
        <v>848</v>
      </c>
      <c r="G149" s="42" t="str">
        <f t="shared" si="2"/>
        <v>SOLLER LAIZA GIANELLA ANTHUANET</v>
      </c>
    </row>
    <row r="150" spans="1:7">
      <c r="A150" s="2">
        <v>7456019</v>
      </c>
      <c r="B150" s="42" t="s">
        <v>1091</v>
      </c>
      <c r="C150" s="2" t="s">
        <v>26</v>
      </c>
      <c r="D150" s="2" t="s">
        <v>39</v>
      </c>
      <c r="E150" s="2" t="s">
        <v>107</v>
      </c>
      <c r="F150" s="2" t="s">
        <v>791</v>
      </c>
      <c r="G150" s="42" t="str">
        <f t="shared" si="2"/>
        <v>SORIA GONZALEZ ANSELMO FELIX</v>
      </c>
    </row>
    <row r="151" spans="1:7">
      <c r="A151" s="2" t="s">
        <v>1092</v>
      </c>
      <c r="B151" s="42" t="s">
        <v>1093</v>
      </c>
      <c r="C151" s="2" t="s">
        <v>157</v>
      </c>
      <c r="D151" s="2" t="s">
        <v>40</v>
      </c>
      <c r="E151" s="2" t="s">
        <v>107</v>
      </c>
      <c r="F151" s="2" t="s">
        <v>772</v>
      </c>
      <c r="G151" s="42" t="str">
        <f t="shared" si="2"/>
        <v>SOTERO TANTALEAN ANGELA</v>
      </c>
    </row>
    <row r="152" spans="1:7">
      <c r="A152" s="2" t="s">
        <v>1094</v>
      </c>
      <c r="B152" s="42" t="s">
        <v>1095</v>
      </c>
      <c r="C152" s="2" t="s">
        <v>181</v>
      </c>
      <c r="D152" s="2" t="s">
        <v>27</v>
      </c>
      <c r="E152" s="2" t="s">
        <v>107</v>
      </c>
      <c r="F152" s="2" t="s">
        <v>781</v>
      </c>
      <c r="G152" s="42" t="str">
        <f t="shared" si="2"/>
        <v>SOTO BAZALAR SAMUEL OMAR</v>
      </c>
    </row>
    <row r="153" spans="1:7">
      <c r="A153" s="2" t="s">
        <v>1096</v>
      </c>
      <c r="B153" s="42" t="s">
        <v>1097</v>
      </c>
      <c r="C153" s="2" t="s">
        <v>398</v>
      </c>
      <c r="D153" s="2" t="s">
        <v>42</v>
      </c>
      <c r="E153" s="2" t="s">
        <v>107</v>
      </c>
      <c r="F153" s="2" t="s">
        <v>1047</v>
      </c>
      <c r="G153" s="42" t="str">
        <f t="shared" si="2"/>
        <v>SUEMATZU YAGI JAVIER CARLOS</v>
      </c>
    </row>
    <row r="154" spans="1:7">
      <c r="A154" s="2" t="s">
        <v>1098</v>
      </c>
      <c r="B154" s="42" t="s">
        <v>1099</v>
      </c>
      <c r="C154" s="2" t="s">
        <v>299</v>
      </c>
      <c r="D154" s="2" t="s">
        <v>25</v>
      </c>
      <c r="E154" s="2" t="s">
        <v>107</v>
      </c>
      <c r="F154" s="2" t="s">
        <v>775</v>
      </c>
      <c r="G154" s="42" t="str">
        <f t="shared" si="2"/>
        <v>TAPIA PARDO JOSE ALONSO</v>
      </c>
    </row>
    <row r="155" spans="1:7">
      <c r="A155" s="2" t="s">
        <v>1100</v>
      </c>
      <c r="B155" s="42" t="s">
        <v>1101</v>
      </c>
      <c r="C155" s="2" t="s">
        <v>125</v>
      </c>
      <c r="D155" s="2" t="s">
        <v>27</v>
      </c>
      <c r="E155" s="2" t="s">
        <v>107</v>
      </c>
      <c r="F155" s="2" t="s">
        <v>778</v>
      </c>
      <c r="G155" s="42" t="str">
        <f t="shared" si="2"/>
        <v>TENORIO CAMPOS JORGE ALBERTO</v>
      </c>
    </row>
    <row r="156" spans="1:7">
      <c r="A156" s="2" t="s">
        <v>1102</v>
      </c>
      <c r="B156" s="42" t="s">
        <v>1103</v>
      </c>
      <c r="C156" s="2" t="s">
        <v>299</v>
      </c>
      <c r="D156" s="2" t="s">
        <v>25</v>
      </c>
      <c r="E156" s="2" t="s">
        <v>107</v>
      </c>
      <c r="F156" s="2" t="s">
        <v>775</v>
      </c>
      <c r="G156" s="42" t="str">
        <f t="shared" si="2"/>
        <v>TEREZO LIBERATO CALEB PEDRO</v>
      </c>
    </row>
    <row r="157" spans="1:7">
      <c r="A157" s="2" t="s">
        <v>1104</v>
      </c>
      <c r="B157" s="42" t="s">
        <v>1105</v>
      </c>
      <c r="C157" s="2" t="s">
        <v>286</v>
      </c>
      <c r="D157" s="2" t="s">
        <v>22</v>
      </c>
      <c r="E157" s="2" t="s">
        <v>107</v>
      </c>
      <c r="F157" s="2" t="s">
        <v>802</v>
      </c>
      <c r="G157" s="42" t="str">
        <f t="shared" si="2"/>
        <v>TIZA COTRINA EMILIA GENY</v>
      </c>
    </row>
    <row r="158" spans="1:7">
      <c r="A158" s="2" t="s">
        <v>1106</v>
      </c>
      <c r="B158" s="42" t="s">
        <v>1107</v>
      </c>
      <c r="C158" s="2" t="s">
        <v>299</v>
      </c>
      <c r="D158" s="2" t="s">
        <v>25</v>
      </c>
      <c r="E158" s="2" t="s">
        <v>107</v>
      </c>
      <c r="F158" s="2" t="s">
        <v>775</v>
      </c>
      <c r="G158" s="42" t="str">
        <f t="shared" si="2"/>
        <v>TORRES BANCES ANDY SMITH</v>
      </c>
    </row>
    <row r="159" spans="1:7">
      <c r="A159" s="2" t="s">
        <v>1108</v>
      </c>
      <c r="B159" s="42" t="s">
        <v>1109</v>
      </c>
      <c r="C159" s="2" t="s">
        <v>534</v>
      </c>
      <c r="D159" s="2" t="s">
        <v>39</v>
      </c>
      <c r="E159" s="2" t="s">
        <v>107</v>
      </c>
      <c r="F159" s="2" t="s">
        <v>791</v>
      </c>
      <c r="G159" s="42" t="str">
        <f t="shared" si="2"/>
        <v>TORRES GONZALES VICTOR RUUD</v>
      </c>
    </row>
    <row r="160" spans="1:7">
      <c r="A160" s="2" t="s">
        <v>1110</v>
      </c>
      <c r="B160" s="42" t="s">
        <v>1111</v>
      </c>
      <c r="C160" s="2" t="s">
        <v>125</v>
      </c>
      <c r="D160" s="2" t="s">
        <v>27</v>
      </c>
      <c r="E160" s="2" t="s">
        <v>107</v>
      </c>
      <c r="F160" s="2" t="s">
        <v>781</v>
      </c>
      <c r="G160" s="42" t="str">
        <f t="shared" si="2"/>
        <v>ULLOA GALINDO JULIO CESAR</v>
      </c>
    </row>
    <row r="161" spans="1:7">
      <c r="A161" s="2" t="s">
        <v>1112</v>
      </c>
      <c r="B161" s="42" t="s">
        <v>1113</v>
      </c>
      <c r="C161" s="2" t="s">
        <v>125</v>
      </c>
      <c r="D161" s="2" t="s">
        <v>27</v>
      </c>
      <c r="E161" s="2" t="s">
        <v>107</v>
      </c>
      <c r="F161" s="2" t="s">
        <v>781</v>
      </c>
      <c r="G161" s="42" t="str">
        <f t="shared" si="2"/>
        <v>URIARTE PALACIOS JEIMY ENRIQUE</v>
      </c>
    </row>
    <row r="162" spans="1:7">
      <c r="A162" s="2" t="s">
        <v>439</v>
      </c>
      <c r="B162" s="42" t="s">
        <v>1114</v>
      </c>
      <c r="C162" s="2" t="s">
        <v>442</v>
      </c>
      <c r="D162" s="2" t="s">
        <v>39</v>
      </c>
      <c r="E162" s="2" t="s">
        <v>107</v>
      </c>
      <c r="F162" s="2" t="s">
        <v>791</v>
      </c>
      <c r="G162" s="42" t="str">
        <f t="shared" si="2"/>
        <v>VACCARO SILVA JONATHAN ALEXIS</v>
      </c>
    </row>
    <row r="163" spans="1:7">
      <c r="A163" s="2" t="s">
        <v>1115</v>
      </c>
      <c r="B163" s="42" t="s">
        <v>1116</v>
      </c>
      <c r="C163" s="2" t="s">
        <v>97</v>
      </c>
      <c r="D163" s="2" t="s">
        <v>24</v>
      </c>
      <c r="E163" s="2" t="s">
        <v>107</v>
      </c>
      <c r="F163" s="2" t="s">
        <v>855</v>
      </c>
      <c r="G163" s="42" t="str">
        <f t="shared" si="2"/>
        <v>VALLE ALMORA MILAGROS GEORGINA</v>
      </c>
    </row>
    <row r="164" spans="1:7">
      <c r="A164" s="2" t="s">
        <v>1117</v>
      </c>
      <c r="B164" s="42" t="s">
        <v>1118</v>
      </c>
      <c r="C164" s="2" t="s">
        <v>1119</v>
      </c>
      <c r="D164" s="2" t="s">
        <v>42</v>
      </c>
      <c r="E164" s="2" t="s">
        <v>107</v>
      </c>
      <c r="F164" s="2" t="s">
        <v>1047</v>
      </c>
      <c r="G164" s="42" t="str">
        <f t="shared" si="2"/>
        <v>VARGAS FLORES JOHANNA ANTONELLA</v>
      </c>
    </row>
    <row r="165" spans="1:7">
      <c r="A165" s="2" t="s">
        <v>1120</v>
      </c>
      <c r="B165" s="42" t="s">
        <v>1121</v>
      </c>
      <c r="C165" s="2" t="s">
        <v>125</v>
      </c>
      <c r="D165" s="2" t="s">
        <v>27</v>
      </c>
      <c r="E165" s="2" t="s">
        <v>107</v>
      </c>
      <c r="F165" s="2" t="s">
        <v>778</v>
      </c>
      <c r="G165" s="42" t="str">
        <f t="shared" si="2"/>
        <v>VASQUEZ CALMET WALTER WILLIAM</v>
      </c>
    </row>
    <row r="166" spans="1:7">
      <c r="A166" s="2" t="s">
        <v>1122</v>
      </c>
      <c r="B166" s="42" t="s">
        <v>1123</v>
      </c>
      <c r="C166" s="2" t="s">
        <v>940</v>
      </c>
      <c r="D166" s="2" t="s">
        <v>25</v>
      </c>
      <c r="E166" s="2" t="s">
        <v>107</v>
      </c>
      <c r="F166" s="2" t="s">
        <v>909</v>
      </c>
      <c r="G166" s="42" t="str">
        <f t="shared" si="2"/>
        <v>VIERA MOGOLLON CESAR</v>
      </c>
    </row>
    <row r="167" spans="1:7">
      <c r="A167" s="2" t="s">
        <v>1124</v>
      </c>
      <c r="B167" s="42" t="s">
        <v>1125</v>
      </c>
      <c r="C167" s="2" t="s">
        <v>151</v>
      </c>
      <c r="D167" s="2" t="s">
        <v>22</v>
      </c>
      <c r="E167" s="2" t="s">
        <v>107</v>
      </c>
      <c r="F167" s="2" t="s">
        <v>802</v>
      </c>
      <c r="G167" s="42" t="str">
        <f t="shared" si="2"/>
        <v>VILA BALTAZAR JORGE LUIS</v>
      </c>
    </row>
    <row r="168" spans="1:7">
      <c r="A168" s="2" t="s">
        <v>1126</v>
      </c>
      <c r="B168" s="42" t="s">
        <v>1127</v>
      </c>
      <c r="C168" s="2" t="s">
        <v>372</v>
      </c>
      <c r="D168" s="2" t="s">
        <v>36</v>
      </c>
      <c r="E168" s="2" t="s">
        <v>107</v>
      </c>
      <c r="F168" s="2" t="s">
        <v>791</v>
      </c>
      <c r="G168" s="42" t="str">
        <f t="shared" si="2"/>
        <v>VILLAFUERTE REGUERA HUGO ANDRES ALDO</v>
      </c>
    </row>
    <row r="169" spans="1:7">
      <c r="A169" s="2" t="s">
        <v>1128</v>
      </c>
      <c r="B169" s="42" t="s">
        <v>1129</v>
      </c>
      <c r="C169" s="2" t="s">
        <v>411</v>
      </c>
      <c r="D169" s="2" t="s">
        <v>805</v>
      </c>
      <c r="E169" s="2" t="s">
        <v>107</v>
      </c>
      <c r="F169" s="2" t="s">
        <v>806</v>
      </c>
      <c r="G169" s="42" t="str">
        <f t="shared" si="2"/>
        <v>VILLAGARAY MONTALDO JEAN PIERRE</v>
      </c>
    </row>
    <row r="170" spans="1:7">
      <c r="A170" s="2" t="s">
        <v>1130</v>
      </c>
      <c r="B170" s="42" t="s">
        <v>1131</v>
      </c>
      <c r="C170" s="2" t="s">
        <v>299</v>
      </c>
      <c r="D170" s="2" t="s">
        <v>25</v>
      </c>
      <c r="E170" s="2" t="s">
        <v>107</v>
      </c>
      <c r="F170" s="2" t="s">
        <v>775</v>
      </c>
      <c r="G170" s="42" t="str">
        <f t="shared" si="2"/>
        <v>VILLANUEVA MORALES OLGER ELI</v>
      </c>
    </row>
    <row r="171" spans="1:7">
      <c r="A171" s="2" t="s">
        <v>568</v>
      </c>
      <c r="B171" s="42" t="s">
        <v>1132</v>
      </c>
      <c r="C171" s="2" t="s">
        <v>534</v>
      </c>
      <c r="D171" s="2" t="s">
        <v>39</v>
      </c>
      <c r="E171" s="2" t="s">
        <v>107</v>
      </c>
      <c r="F171" s="2" t="s">
        <v>791</v>
      </c>
      <c r="G171" s="42" t="str">
        <f t="shared" si="2"/>
        <v>VILLEGAS PACHECO MARIO GERARDO</v>
      </c>
    </row>
    <row r="172" spans="1:7">
      <c r="A172" s="2" t="s">
        <v>1133</v>
      </c>
      <c r="B172" s="42" t="s">
        <v>1134</v>
      </c>
      <c r="C172" s="2" t="s">
        <v>26</v>
      </c>
      <c r="D172" s="2" t="s">
        <v>39</v>
      </c>
      <c r="E172" s="2" t="s">
        <v>107</v>
      </c>
      <c r="F172" s="2" t="s">
        <v>791</v>
      </c>
      <c r="G172" s="42" t="str">
        <f t="shared" si="2"/>
        <v>YACTAYO CUZCANO FELIX OSWALDO</v>
      </c>
    </row>
    <row r="173" spans="1:7">
      <c r="A173" s="2" t="s">
        <v>1135</v>
      </c>
      <c r="B173" s="42" t="s">
        <v>1136</v>
      </c>
      <c r="C173" s="2" t="s">
        <v>141</v>
      </c>
      <c r="D173" s="2" t="s">
        <v>805</v>
      </c>
      <c r="E173" s="2" t="s">
        <v>107</v>
      </c>
      <c r="F173" s="2" t="s">
        <v>806</v>
      </c>
      <c r="G173" s="42" t="str">
        <f t="shared" si="2"/>
        <v>YATACO SALDAÑA ANDREA DENIS</v>
      </c>
    </row>
    <row r="174" spans="1:7">
      <c r="A174" s="2" t="s">
        <v>1137</v>
      </c>
      <c r="B174" s="42" t="s">
        <v>1138</v>
      </c>
      <c r="C174" s="2" t="s">
        <v>299</v>
      </c>
      <c r="D174" s="2" t="s">
        <v>25</v>
      </c>
      <c r="E174" s="2" t="s">
        <v>107</v>
      </c>
      <c r="F174" s="2" t="s">
        <v>775</v>
      </c>
      <c r="G174" s="42" t="str">
        <f t="shared" si="2"/>
        <v>ZAMBRANO ZAMBRANO SIMON BOLIVAR</v>
      </c>
    </row>
    <row r="175" spans="1:7">
      <c r="A175" s="2" t="s">
        <v>1139</v>
      </c>
      <c r="B175" s="42" t="s">
        <v>1140</v>
      </c>
      <c r="C175" s="2" t="s">
        <v>546</v>
      </c>
      <c r="D175" s="2" t="s">
        <v>27</v>
      </c>
      <c r="E175" s="2" t="s">
        <v>107</v>
      </c>
      <c r="F175" s="2" t="s">
        <v>781</v>
      </c>
      <c r="G175" s="42" t="str">
        <f t="shared" si="2"/>
        <v>ZAVALETA VARGAS MANUEL ANTONIO</v>
      </c>
    </row>
    <row r="176" spans="1:7">
      <c r="A176" s="2" t="s">
        <v>1141</v>
      </c>
      <c r="B176" s="42" t="s">
        <v>1142</v>
      </c>
      <c r="C176" s="2" t="s">
        <v>125</v>
      </c>
      <c r="D176" s="2" t="s">
        <v>27</v>
      </c>
      <c r="E176" s="2" t="s">
        <v>107</v>
      </c>
      <c r="F176" s="2" t="s">
        <v>781</v>
      </c>
      <c r="G176" s="42" t="str">
        <f t="shared" si="2"/>
        <v>ZEGARRA GARIBALDI JAVIER ROBERTO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AA436-6D7E-4B9E-A83F-F9950DAFDFD1}">
  <dimension ref="A1:U150"/>
  <sheetViews>
    <sheetView topLeftCell="B16" zoomScaleNormal="100" workbookViewId="0">
      <selection activeCell="G31" sqref="G31"/>
    </sheetView>
  </sheetViews>
  <sheetFormatPr defaultColWidth="11.42578125" defaultRowHeight="15"/>
  <cols>
    <col min="1" max="1" width="5.28515625" customWidth="1"/>
    <col min="2" max="2" width="46.7109375" customWidth="1"/>
    <col min="3" max="3" width="24" customWidth="1"/>
    <col min="4" max="4" width="14.140625" customWidth="1"/>
    <col min="5" max="5" width="22" style="4" customWidth="1"/>
    <col min="6" max="6" width="16.42578125" customWidth="1"/>
    <col min="7" max="7" width="11.42578125" customWidth="1"/>
    <col min="8" max="8" width="23.5703125" customWidth="1"/>
    <col min="9" max="9" width="35.28515625" style="7" customWidth="1"/>
    <col min="10" max="10" width="25" bestFit="1" customWidth="1"/>
    <col min="11" max="11" width="17.140625" customWidth="1"/>
    <col min="12" max="12" width="17.28515625" customWidth="1"/>
    <col min="13" max="13" width="15.140625" customWidth="1"/>
    <col min="14" max="14" width="17.7109375" customWidth="1"/>
    <col min="15" max="15" width="19.42578125" customWidth="1"/>
    <col min="16" max="16" width="25.28515625" customWidth="1"/>
    <col min="17" max="17" width="18.7109375" customWidth="1"/>
    <col min="18" max="18" width="14.28515625" customWidth="1"/>
    <col min="19" max="19" width="31.28515625" customWidth="1"/>
    <col min="20" max="20" width="12.7109375" customWidth="1"/>
    <col min="21" max="21" width="11.7109375" customWidth="1"/>
  </cols>
  <sheetData>
    <row r="1" spans="1:21" s="19" customFormat="1" ht="58.5" customHeight="1">
      <c r="A1" s="21" t="s">
        <v>82</v>
      </c>
      <c r="B1" s="21" t="s">
        <v>9</v>
      </c>
      <c r="C1" s="21" t="s">
        <v>1143</v>
      </c>
      <c r="D1" s="21" t="s">
        <v>1144</v>
      </c>
      <c r="E1" s="21" t="s">
        <v>87</v>
      </c>
      <c r="F1" s="21" t="s">
        <v>1145</v>
      </c>
      <c r="G1" s="21" t="s">
        <v>1146</v>
      </c>
      <c r="H1" s="21" t="s">
        <v>1147</v>
      </c>
      <c r="I1" s="22" t="s">
        <v>1148</v>
      </c>
      <c r="J1" s="21" t="s">
        <v>1149</v>
      </c>
      <c r="K1" s="21" t="s">
        <v>1150</v>
      </c>
      <c r="L1" s="21" t="s">
        <v>1151</v>
      </c>
      <c r="M1" s="21" t="s">
        <v>1152</v>
      </c>
      <c r="N1" s="21" t="s">
        <v>1153</v>
      </c>
      <c r="O1" s="21" t="s">
        <v>1154</v>
      </c>
      <c r="P1" s="21" t="s">
        <v>1155</v>
      </c>
      <c r="Q1" s="21" t="s">
        <v>19</v>
      </c>
      <c r="R1" s="21" t="s">
        <v>1156</v>
      </c>
      <c r="S1" s="21" t="s">
        <v>1157</v>
      </c>
      <c r="T1" s="21" t="s">
        <v>1158</v>
      </c>
      <c r="U1" s="21" t="s">
        <v>1159</v>
      </c>
    </row>
    <row r="2" spans="1:21" ht="29.25">
      <c r="A2" s="2">
        <v>2</v>
      </c>
      <c r="B2" s="2" t="s">
        <v>104</v>
      </c>
      <c r="C2" s="2" t="s">
        <v>108</v>
      </c>
      <c r="D2" s="2" t="s">
        <v>14</v>
      </c>
      <c r="E2" s="5" t="s">
        <v>25</v>
      </c>
      <c r="F2" s="2">
        <v>963764388</v>
      </c>
      <c r="G2" s="2" t="s">
        <v>1160</v>
      </c>
      <c r="H2" s="2" t="s">
        <v>1161</v>
      </c>
      <c r="I2" s="6">
        <v>358785932293289</v>
      </c>
      <c r="J2" s="2" t="s">
        <v>1162</v>
      </c>
      <c r="K2" s="2" t="s">
        <v>1163</v>
      </c>
      <c r="L2" s="2" t="s">
        <v>1164</v>
      </c>
      <c r="M2" s="2" t="s">
        <v>1165</v>
      </c>
      <c r="N2" s="2" t="s">
        <v>108</v>
      </c>
      <c r="O2" s="3">
        <v>45673</v>
      </c>
      <c r="P2" s="3">
        <v>45806</v>
      </c>
      <c r="Q2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6 meses</v>
      </c>
      <c r="R2" s="2" t="s">
        <v>1166</v>
      </c>
      <c r="S2" s="2" t="s">
        <v>1167</v>
      </c>
      <c r="T2" s="2" t="s">
        <v>1168</v>
      </c>
      <c r="U2" s="2" t="s">
        <v>1168</v>
      </c>
    </row>
    <row r="3" spans="1:21">
      <c r="A3" s="2">
        <v>3</v>
      </c>
      <c r="B3" s="2" t="s">
        <v>111</v>
      </c>
      <c r="C3" s="2" t="s">
        <v>108</v>
      </c>
      <c r="D3" s="2" t="s">
        <v>14</v>
      </c>
      <c r="E3" s="5" t="s">
        <v>28</v>
      </c>
      <c r="F3" s="2">
        <v>973181623</v>
      </c>
      <c r="G3" s="2" t="s">
        <v>1160</v>
      </c>
      <c r="H3" s="2" t="s">
        <v>1169</v>
      </c>
      <c r="I3" s="6">
        <v>357494911535411</v>
      </c>
      <c r="J3" s="2" t="s">
        <v>1170</v>
      </c>
      <c r="K3" s="2" t="s">
        <v>1163</v>
      </c>
      <c r="L3" s="2" t="s">
        <v>1164</v>
      </c>
      <c r="M3" s="2" t="s">
        <v>1165</v>
      </c>
      <c r="N3" s="2" t="s">
        <v>1171</v>
      </c>
      <c r="O3" s="3">
        <v>45118</v>
      </c>
      <c r="P3" s="3">
        <v>45387</v>
      </c>
      <c r="Q3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1 mes</v>
      </c>
      <c r="R3" s="2" t="s">
        <v>1166</v>
      </c>
      <c r="S3" s="2" t="s">
        <v>1167</v>
      </c>
      <c r="T3" s="2" t="s">
        <v>1168</v>
      </c>
      <c r="U3" s="2" t="s">
        <v>1168</v>
      </c>
    </row>
    <row r="4" spans="1:21">
      <c r="A4" s="2">
        <v>4</v>
      </c>
      <c r="B4" s="2" t="s">
        <v>117</v>
      </c>
      <c r="C4" s="2" t="s">
        <v>108</v>
      </c>
      <c r="D4" s="2" t="s">
        <v>14</v>
      </c>
      <c r="E4" s="5" t="s">
        <v>28</v>
      </c>
      <c r="F4" s="2">
        <v>938599654</v>
      </c>
      <c r="G4" s="2" t="s">
        <v>1160</v>
      </c>
      <c r="H4" s="2" t="s">
        <v>1169</v>
      </c>
      <c r="I4" s="6">
        <v>357494911583742</v>
      </c>
      <c r="J4" s="2" t="s">
        <v>1172</v>
      </c>
      <c r="K4" s="2" t="s">
        <v>1163</v>
      </c>
      <c r="L4" s="2" t="s">
        <v>1164</v>
      </c>
      <c r="M4" s="2" t="s">
        <v>1173</v>
      </c>
      <c r="N4" s="2" t="s">
        <v>1174</v>
      </c>
      <c r="O4" s="3">
        <v>45329</v>
      </c>
      <c r="P4" s="3">
        <v>45810</v>
      </c>
      <c r="Q4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6 meses</v>
      </c>
      <c r="R4" s="2" t="s">
        <v>1166</v>
      </c>
      <c r="S4" s="2" t="s">
        <v>1167</v>
      </c>
      <c r="T4" s="2" t="s">
        <v>1168</v>
      </c>
      <c r="U4" s="2" t="s">
        <v>1168</v>
      </c>
    </row>
    <row r="5" spans="1:21">
      <c r="A5" s="2">
        <v>139</v>
      </c>
      <c r="B5" s="2" t="s">
        <v>123</v>
      </c>
      <c r="C5" s="2" t="s">
        <v>108</v>
      </c>
      <c r="D5" s="2" t="s">
        <v>14</v>
      </c>
      <c r="E5" s="5" t="s">
        <v>27</v>
      </c>
      <c r="F5" s="2">
        <v>905433805</v>
      </c>
      <c r="G5" s="2" t="s">
        <v>1160</v>
      </c>
      <c r="H5" s="2" t="s">
        <v>1169</v>
      </c>
      <c r="I5" s="6">
        <v>357494911582249</v>
      </c>
      <c r="J5" s="2" t="s">
        <v>1175</v>
      </c>
      <c r="K5" s="2" t="s">
        <v>108</v>
      </c>
      <c r="L5" s="2" t="s">
        <v>108</v>
      </c>
      <c r="M5" s="2" t="s">
        <v>108</v>
      </c>
      <c r="N5" s="2" t="s">
        <v>108</v>
      </c>
      <c r="O5" s="3">
        <v>45118</v>
      </c>
      <c r="P5" s="3">
        <v>45971</v>
      </c>
      <c r="Q5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1 mes</v>
      </c>
      <c r="R5" s="2" t="s">
        <v>1166</v>
      </c>
      <c r="S5" s="2" t="s">
        <v>1167</v>
      </c>
      <c r="T5" s="2" t="s">
        <v>1176</v>
      </c>
      <c r="U5" s="2" t="s">
        <v>1176</v>
      </c>
    </row>
    <row r="6" spans="1:21">
      <c r="A6" s="2">
        <v>6</v>
      </c>
      <c r="B6" s="2" t="s">
        <v>129</v>
      </c>
      <c r="C6" s="2" t="s">
        <v>108</v>
      </c>
      <c r="D6" s="2" t="s">
        <v>14</v>
      </c>
      <c r="E6" s="5" t="s">
        <v>38</v>
      </c>
      <c r="F6" s="2">
        <v>977791785</v>
      </c>
      <c r="G6" s="2" t="s">
        <v>1160</v>
      </c>
      <c r="H6" s="2" t="s">
        <v>1177</v>
      </c>
      <c r="I6" s="6">
        <v>351813190752858</v>
      </c>
      <c r="J6" s="2" t="s">
        <v>1178</v>
      </c>
      <c r="K6" s="2" t="s">
        <v>1163</v>
      </c>
      <c r="L6" s="2" t="s">
        <v>108</v>
      </c>
      <c r="M6" s="2" t="s">
        <v>108</v>
      </c>
      <c r="N6" s="2" t="s">
        <v>108</v>
      </c>
      <c r="O6" s="2" t="s">
        <v>108</v>
      </c>
      <c r="P6" s="3">
        <v>46022</v>
      </c>
      <c r="Q6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-</v>
      </c>
      <c r="R6" s="2" t="s">
        <v>1166</v>
      </c>
      <c r="S6" s="2" t="s">
        <v>1167</v>
      </c>
      <c r="T6" s="2" t="s">
        <v>1168</v>
      </c>
      <c r="U6" s="2" t="s">
        <v>1168</v>
      </c>
    </row>
    <row r="7" spans="1:21">
      <c r="A7" s="2">
        <v>7</v>
      </c>
      <c r="B7" s="2" t="s">
        <v>139</v>
      </c>
      <c r="C7" s="2" t="s">
        <v>108</v>
      </c>
      <c r="D7" s="2" t="s">
        <v>14</v>
      </c>
      <c r="E7" s="5" t="s">
        <v>29</v>
      </c>
      <c r="F7" s="2">
        <v>955844240</v>
      </c>
      <c r="G7" s="2" t="s">
        <v>1160</v>
      </c>
      <c r="H7" s="2" t="s">
        <v>1179</v>
      </c>
      <c r="I7" s="6">
        <v>351456832083074</v>
      </c>
      <c r="J7" s="2" t="s">
        <v>1180</v>
      </c>
      <c r="K7" s="2" t="s">
        <v>108</v>
      </c>
      <c r="L7" s="2" t="s">
        <v>108</v>
      </c>
      <c r="M7" s="2" t="s">
        <v>108</v>
      </c>
      <c r="N7" s="2" t="s">
        <v>108</v>
      </c>
      <c r="O7" s="3">
        <v>45673</v>
      </c>
      <c r="P7" s="3">
        <v>45735</v>
      </c>
      <c r="Q7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6 meses</v>
      </c>
      <c r="R7" s="2" t="s">
        <v>1166</v>
      </c>
      <c r="S7" s="2" t="s">
        <v>1167</v>
      </c>
      <c r="T7" s="2" t="s">
        <v>1168</v>
      </c>
      <c r="U7" s="2" t="s">
        <v>1168</v>
      </c>
    </row>
    <row r="8" spans="1:21">
      <c r="A8" s="2">
        <v>8</v>
      </c>
      <c r="B8" s="2" t="s">
        <v>144</v>
      </c>
      <c r="C8" s="2" t="s">
        <v>108</v>
      </c>
      <c r="D8" s="2" t="s">
        <v>14</v>
      </c>
      <c r="E8" s="5" t="s">
        <v>21</v>
      </c>
      <c r="F8" s="2">
        <v>944854253</v>
      </c>
      <c r="G8" s="2" t="s">
        <v>1181</v>
      </c>
      <c r="H8" s="2" t="s">
        <v>1182</v>
      </c>
      <c r="I8" s="6">
        <v>358082907802769</v>
      </c>
      <c r="J8" s="2" t="s">
        <v>1183</v>
      </c>
      <c r="K8" s="2" t="s">
        <v>108</v>
      </c>
      <c r="L8" s="2" t="s">
        <v>108</v>
      </c>
      <c r="M8" s="2" t="s">
        <v>108</v>
      </c>
      <c r="N8" s="2" t="s">
        <v>108</v>
      </c>
      <c r="O8" s="2" t="s">
        <v>108</v>
      </c>
      <c r="P8" s="3">
        <v>46022</v>
      </c>
      <c r="Q8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-</v>
      </c>
      <c r="R8" s="2" t="s">
        <v>1184</v>
      </c>
      <c r="S8" s="2" t="s">
        <v>1185</v>
      </c>
      <c r="T8" s="2" t="s">
        <v>1168</v>
      </c>
      <c r="U8" s="2" t="s">
        <v>1168</v>
      </c>
    </row>
    <row r="9" spans="1:21">
      <c r="A9" s="2">
        <v>9</v>
      </c>
      <c r="B9" s="2" t="s">
        <v>155</v>
      </c>
      <c r="C9" s="2" t="s">
        <v>108</v>
      </c>
      <c r="D9" s="2" t="s">
        <v>14</v>
      </c>
      <c r="E9" s="5" t="s">
        <v>40</v>
      </c>
      <c r="F9" s="2">
        <v>975525656</v>
      </c>
      <c r="G9" s="2" t="s">
        <v>1160</v>
      </c>
      <c r="H9" s="2" t="s">
        <v>1186</v>
      </c>
      <c r="I9" s="6">
        <v>356395970494773</v>
      </c>
      <c r="J9" s="2" t="s">
        <v>1187</v>
      </c>
      <c r="K9" s="2" t="s">
        <v>108</v>
      </c>
      <c r="L9" s="2" t="s">
        <v>108</v>
      </c>
      <c r="M9" s="2" t="s">
        <v>108</v>
      </c>
      <c r="N9" s="2" t="s">
        <v>108</v>
      </c>
      <c r="O9" s="3">
        <v>45288</v>
      </c>
      <c r="P9" s="3">
        <v>45800</v>
      </c>
      <c r="Q9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7 meses</v>
      </c>
      <c r="R9" s="2" t="s">
        <v>1166</v>
      </c>
      <c r="S9" s="2" t="s">
        <v>1188</v>
      </c>
      <c r="T9" s="2" t="s">
        <v>1168</v>
      </c>
      <c r="U9" s="2" t="s">
        <v>1168</v>
      </c>
    </row>
    <row r="10" spans="1:21">
      <c r="A10" s="2">
        <v>14</v>
      </c>
      <c r="B10" s="2" t="s">
        <v>1189</v>
      </c>
      <c r="C10" s="2" t="s">
        <v>108</v>
      </c>
      <c r="D10" s="2" t="s">
        <v>14</v>
      </c>
      <c r="E10" s="5" t="s">
        <v>27</v>
      </c>
      <c r="F10" s="2">
        <v>981304167</v>
      </c>
      <c r="G10" s="2" t="s">
        <v>1160</v>
      </c>
      <c r="H10" s="2" t="s">
        <v>1169</v>
      </c>
      <c r="I10" s="6">
        <v>357494913788083</v>
      </c>
      <c r="J10" s="2" t="s">
        <v>1190</v>
      </c>
      <c r="K10" s="2" t="s">
        <v>108</v>
      </c>
      <c r="L10" s="2" t="s">
        <v>108</v>
      </c>
      <c r="M10" s="2" t="s">
        <v>108</v>
      </c>
      <c r="N10" s="2" t="s">
        <v>108</v>
      </c>
      <c r="O10" s="3">
        <v>45329</v>
      </c>
      <c r="P10" s="3">
        <v>45763</v>
      </c>
      <c r="Q10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6 meses</v>
      </c>
      <c r="R10" s="2" t="s">
        <v>1166</v>
      </c>
      <c r="S10" s="2" t="s">
        <v>1167</v>
      </c>
      <c r="T10" s="2" t="s">
        <v>1176</v>
      </c>
      <c r="U10" s="2" t="s">
        <v>1176</v>
      </c>
    </row>
    <row r="11" spans="1:21">
      <c r="A11" s="2">
        <v>10</v>
      </c>
      <c r="B11" s="2" t="s">
        <v>161</v>
      </c>
      <c r="C11" s="2" t="s">
        <v>108</v>
      </c>
      <c r="D11" s="2" t="s">
        <v>14</v>
      </c>
      <c r="E11" s="5" t="s">
        <v>26</v>
      </c>
      <c r="F11" s="2">
        <v>905433809</v>
      </c>
      <c r="G11" s="2" t="s">
        <v>1160</v>
      </c>
      <c r="H11" s="2" t="s">
        <v>1191</v>
      </c>
      <c r="I11" s="6">
        <v>356034165561746</v>
      </c>
      <c r="J11" s="2" t="s">
        <v>1192</v>
      </c>
      <c r="K11" s="2" t="s">
        <v>108</v>
      </c>
      <c r="L11" s="2" t="s">
        <v>108</v>
      </c>
      <c r="M11" s="2" t="s">
        <v>108</v>
      </c>
      <c r="N11" s="2" t="s">
        <v>108</v>
      </c>
      <c r="O11" s="3">
        <v>45966</v>
      </c>
      <c r="P11" s="3">
        <v>46022</v>
      </c>
      <c r="Q11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0 años y 9 meses</v>
      </c>
      <c r="R11" s="2" t="s">
        <v>1166</v>
      </c>
      <c r="S11" s="2" t="s">
        <v>1167</v>
      </c>
      <c r="T11" s="2" t="s">
        <v>1168</v>
      </c>
      <c r="U11" s="2" t="s">
        <v>1168</v>
      </c>
    </row>
    <row r="12" spans="1:21">
      <c r="A12" s="2">
        <v>138</v>
      </c>
      <c r="B12" s="2" t="s">
        <v>170</v>
      </c>
      <c r="C12" s="15" t="s">
        <v>108</v>
      </c>
      <c r="D12" s="2" t="s">
        <v>14</v>
      </c>
      <c r="E12" s="5" t="s">
        <v>42</v>
      </c>
      <c r="F12" s="2">
        <v>913738028</v>
      </c>
      <c r="G12" s="2" t="s">
        <v>1160</v>
      </c>
      <c r="H12" s="2" t="s">
        <v>1193</v>
      </c>
      <c r="I12" s="6">
        <v>350182153326725</v>
      </c>
      <c r="J12" s="2" t="s">
        <v>1194</v>
      </c>
      <c r="K12" s="2" t="s">
        <v>108</v>
      </c>
      <c r="L12" s="2" t="s">
        <v>108</v>
      </c>
      <c r="M12" s="2" t="s">
        <v>108</v>
      </c>
      <c r="N12" s="2" t="s">
        <v>108</v>
      </c>
      <c r="O12" s="3">
        <v>46120</v>
      </c>
      <c r="P12" s="2" t="s">
        <v>108</v>
      </c>
      <c r="Q12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0 años y 4 meses</v>
      </c>
      <c r="R12" s="2" t="s">
        <v>108</v>
      </c>
      <c r="S12" s="2" t="s">
        <v>108</v>
      </c>
      <c r="T12" s="2" t="s">
        <v>1168</v>
      </c>
      <c r="U12" s="2" t="s">
        <v>1168</v>
      </c>
    </row>
    <row r="13" spans="1:21">
      <c r="A13" s="2">
        <v>12</v>
      </c>
      <c r="B13" s="2" t="s">
        <v>175</v>
      </c>
      <c r="C13" s="2" t="s">
        <v>108</v>
      </c>
      <c r="D13" s="2" t="s">
        <v>14</v>
      </c>
      <c r="E13" s="5" t="s">
        <v>27</v>
      </c>
      <c r="F13" s="2">
        <v>961002290</v>
      </c>
      <c r="G13" s="2" t="s">
        <v>1160</v>
      </c>
      <c r="H13" s="2" t="s">
        <v>1195</v>
      </c>
      <c r="I13" s="6">
        <v>356241324885565</v>
      </c>
      <c r="J13" s="2" t="s">
        <v>1196</v>
      </c>
      <c r="K13" s="2" t="s">
        <v>108</v>
      </c>
      <c r="L13" s="2" t="s">
        <v>108</v>
      </c>
      <c r="M13" s="2" t="s">
        <v>108</v>
      </c>
      <c r="N13" s="2" t="s">
        <v>108</v>
      </c>
      <c r="O13" s="3">
        <v>45301</v>
      </c>
      <c r="P13" s="3">
        <v>46010</v>
      </c>
      <c r="Q13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7 meses</v>
      </c>
      <c r="R13" s="2" t="s">
        <v>1166</v>
      </c>
      <c r="S13" s="2" t="s">
        <v>1167</v>
      </c>
      <c r="T13" s="2" t="s">
        <v>1176</v>
      </c>
      <c r="U13" s="2" t="s">
        <v>1176</v>
      </c>
    </row>
    <row r="14" spans="1:21">
      <c r="A14" s="2">
        <v>13</v>
      </c>
      <c r="B14" s="2" t="s">
        <v>177</v>
      </c>
      <c r="C14" s="2" t="s">
        <v>108</v>
      </c>
      <c r="D14" s="2" t="s">
        <v>14</v>
      </c>
      <c r="E14" s="5" t="s">
        <v>27</v>
      </c>
      <c r="F14" s="2">
        <v>919280595</v>
      </c>
      <c r="G14" s="2" t="s">
        <v>1160</v>
      </c>
      <c r="H14" s="2" t="s">
        <v>1169</v>
      </c>
      <c r="I14" s="6">
        <v>357494911548596</v>
      </c>
      <c r="J14" s="2" t="s">
        <v>1197</v>
      </c>
      <c r="K14" s="2" t="s">
        <v>108</v>
      </c>
      <c r="L14" s="2" t="s">
        <v>108</v>
      </c>
      <c r="M14" s="2" t="s">
        <v>108</v>
      </c>
      <c r="N14" s="2" t="s">
        <v>108</v>
      </c>
      <c r="O14" s="3">
        <v>45118</v>
      </c>
      <c r="P14" s="3">
        <v>45532</v>
      </c>
      <c r="Q14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1 mes</v>
      </c>
      <c r="R14" s="2" t="s">
        <v>1166</v>
      </c>
      <c r="S14" s="2" t="s">
        <v>1167</v>
      </c>
      <c r="T14" s="2" t="s">
        <v>1176</v>
      </c>
      <c r="U14" s="2" t="s">
        <v>1176</v>
      </c>
    </row>
    <row r="15" spans="1:21">
      <c r="A15" s="2">
        <v>51</v>
      </c>
      <c r="B15" s="2" t="s">
        <v>185</v>
      </c>
      <c r="C15" s="2" t="s">
        <v>108</v>
      </c>
      <c r="D15" s="2" t="s">
        <v>14</v>
      </c>
      <c r="E15" s="5" t="s">
        <v>27</v>
      </c>
      <c r="F15" s="2">
        <v>905433789</v>
      </c>
      <c r="G15" s="2" t="s">
        <v>1160</v>
      </c>
      <c r="H15" s="2" t="s">
        <v>1191</v>
      </c>
      <c r="I15" s="6">
        <v>357269400224531</v>
      </c>
      <c r="J15" s="2" t="s">
        <v>1198</v>
      </c>
      <c r="K15" s="2" t="s">
        <v>108</v>
      </c>
      <c r="L15" s="2" t="s">
        <v>108</v>
      </c>
      <c r="M15" s="2" t="s">
        <v>108</v>
      </c>
      <c r="N15" s="2" t="s">
        <v>108</v>
      </c>
      <c r="O15" s="3">
        <v>45853</v>
      </c>
      <c r="P15" s="3">
        <v>46240</v>
      </c>
      <c r="Q15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0 meses</v>
      </c>
      <c r="R15" s="2" t="s">
        <v>1166</v>
      </c>
      <c r="S15" s="2" t="s">
        <v>1167</v>
      </c>
      <c r="T15" s="2" t="s">
        <v>1176</v>
      </c>
      <c r="U15" s="2" t="s">
        <v>1176</v>
      </c>
    </row>
    <row r="16" spans="1:21">
      <c r="A16" s="2">
        <v>15</v>
      </c>
      <c r="B16" s="2" t="s">
        <v>189</v>
      </c>
      <c r="C16" s="2" t="s">
        <v>108</v>
      </c>
      <c r="D16" s="2" t="s">
        <v>14</v>
      </c>
      <c r="E16" s="5" t="s">
        <v>22</v>
      </c>
      <c r="F16" s="2">
        <v>913733924</v>
      </c>
      <c r="G16" s="2" t="s">
        <v>1160</v>
      </c>
      <c r="H16" s="2" t="s">
        <v>1161</v>
      </c>
      <c r="I16" s="6">
        <v>358785932278009</v>
      </c>
      <c r="J16" s="2" t="s">
        <v>1199</v>
      </c>
      <c r="K16" s="2" t="s">
        <v>108</v>
      </c>
      <c r="L16" s="2" t="s">
        <v>108</v>
      </c>
      <c r="M16" s="2" t="s">
        <v>108</v>
      </c>
      <c r="N16" s="2" t="s">
        <v>108</v>
      </c>
      <c r="O16" s="3">
        <v>45301</v>
      </c>
      <c r="P16" s="3">
        <v>45449</v>
      </c>
      <c r="Q16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7 meses</v>
      </c>
      <c r="R16" s="2" t="s">
        <v>1166</v>
      </c>
      <c r="S16" s="2" t="s">
        <v>1167</v>
      </c>
      <c r="T16" s="2" t="s">
        <v>1176</v>
      </c>
      <c r="U16" s="2" t="s">
        <v>1176</v>
      </c>
    </row>
    <row r="17" spans="1:21">
      <c r="A17" s="2">
        <v>17</v>
      </c>
      <c r="B17" s="2" t="s">
        <v>197</v>
      </c>
      <c r="C17" s="2" t="s">
        <v>108</v>
      </c>
      <c r="D17" s="2" t="s">
        <v>14</v>
      </c>
      <c r="E17" s="5" t="s">
        <v>42</v>
      </c>
      <c r="F17" s="2" t="s">
        <v>1200</v>
      </c>
      <c r="G17" s="2" t="s">
        <v>1181</v>
      </c>
      <c r="H17" s="2" t="s">
        <v>1201</v>
      </c>
      <c r="I17" s="6">
        <v>353173584382319</v>
      </c>
      <c r="J17" s="2" t="s">
        <v>1202</v>
      </c>
      <c r="K17" s="2" t="s">
        <v>108</v>
      </c>
      <c r="L17" s="2" t="s">
        <v>108</v>
      </c>
      <c r="M17" s="2" t="s">
        <v>108</v>
      </c>
      <c r="N17" s="2" t="s">
        <v>108</v>
      </c>
      <c r="O17" s="3">
        <v>45239</v>
      </c>
      <c r="P17" s="3">
        <v>45245</v>
      </c>
      <c r="Q17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9 meses</v>
      </c>
      <c r="R17" s="2" t="s">
        <v>1166</v>
      </c>
      <c r="S17" s="2" t="s">
        <v>1203</v>
      </c>
      <c r="T17" s="2" t="s">
        <v>1168</v>
      </c>
      <c r="U17" s="2" t="s">
        <v>1168</v>
      </c>
    </row>
    <row r="18" spans="1:21">
      <c r="A18" s="2">
        <v>18</v>
      </c>
      <c r="B18" s="2" t="s">
        <v>201</v>
      </c>
      <c r="C18" s="2" t="s">
        <v>108</v>
      </c>
      <c r="D18" s="2" t="s">
        <v>14</v>
      </c>
      <c r="E18" s="5" t="s">
        <v>40</v>
      </c>
      <c r="F18" s="2">
        <v>913737010</v>
      </c>
      <c r="G18" s="2" t="s">
        <v>1160</v>
      </c>
      <c r="H18" s="2" t="s">
        <v>1179</v>
      </c>
      <c r="I18" s="6">
        <v>351456831091730</v>
      </c>
      <c r="J18" s="2" t="s">
        <v>1204</v>
      </c>
      <c r="K18" s="2" t="s">
        <v>108</v>
      </c>
      <c r="L18" s="2" t="s">
        <v>108</v>
      </c>
      <c r="M18" s="2" t="s">
        <v>108</v>
      </c>
      <c r="N18" s="2" t="s">
        <v>108</v>
      </c>
      <c r="O18" s="3">
        <v>45338</v>
      </c>
      <c r="P18" s="3">
        <v>45446</v>
      </c>
      <c r="Q18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5 meses</v>
      </c>
      <c r="R18" s="2" t="s">
        <v>1166</v>
      </c>
      <c r="S18" s="2" t="s">
        <v>1167</v>
      </c>
      <c r="T18" s="2" t="s">
        <v>1168</v>
      </c>
      <c r="U18" s="2" t="s">
        <v>1168</v>
      </c>
    </row>
    <row r="19" spans="1:21">
      <c r="A19" s="2">
        <v>19</v>
      </c>
      <c r="B19" s="2" t="s">
        <v>206</v>
      </c>
      <c r="C19" s="2" t="s">
        <v>108</v>
      </c>
      <c r="D19" s="2" t="s">
        <v>14</v>
      </c>
      <c r="E19" s="5" t="s">
        <v>27</v>
      </c>
      <c r="F19" s="2">
        <v>983531735</v>
      </c>
      <c r="G19" s="2" t="s">
        <v>1160</v>
      </c>
      <c r="H19" s="2" t="s">
        <v>1195</v>
      </c>
      <c r="I19" s="6">
        <v>356241324969500</v>
      </c>
      <c r="J19" s="2" t="s">
        <v>1205</v>
      </c>
      <c r="K19" s="2" t="s">
        <v>108</v>
      </c>
      <c r="L19" s="2" t="s">
        <v>108</v>
      </c>
      <c r="M19" s="2" t="s">
        <v>108</v>
      </c>
      <c r="N19" s="2" t="s">
        <v>108</v>
      </c>
      <c r="O19" s="3">
        <v>45301</v>
      </c>
      <c r="P19" s="3">
        <v>45313</v>
      </c>
      <c r="Q19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7 meses</v>
      </c>
      <c r="R19" s="2" t="s">
        <v>1166</v>
      </c>
      <c r="S19" s="2" t="s">
        <v>1167</v>
      </c>
      <c r="T19" s="2" t="s">
        <v>1176</v>
      </c>
      <c r="U19" s="2" t="s">
        <v>1176</v>
      </c>
    </row>
    <row r="20" spans="1:21">
      <c r="A20" s="2">
        <v>20</v>
      </c>
      <c r="B20" s="2" t="s">
        <v>210</v>
      </c>
      <c r="C20" s="2" t="s">
        <v>108</v>
      </c>
      <c r="D20" s="15" t="s">
        <v>15</v>
      </c>
      <c r="E20" s="5" t="s">
        <v>23</v>
      </c>
      <c r="F20" s="2">
        <v>975502373</v>
      </c>
      <c r="G20" s="2" t="s">
        <v>108</v>
      </c>
      <c r="H20" s="2" t="s">
        <v>1206</v>
      </c>
      <c r="I20" s="6" t="s">
        <v>1206</v>
      </c>
      <c r="J20" s="2" t="s">
        <v>1206</v>
      </c>
      <c r="K20" s="2" t="s">
        <v>108</v>
      </c>
      <c r="L20" s="2" t="s">
        <v>108</v>
      </c>
      <c r="M20" s="2" t="s">
        <v>108</v>
      </c>
      <c r="N20" s="2" t="s">
        <v>108</v>
      </c>
      <c r="O20" s="2" t="s">
        <v>108</v>
      </c>
      <c r="P20" s="2" t="s">
        <v>108</v>
      </c>
      <c r="Q20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-</v>
      </c>
      <c r="R20" s="2" t="s">
        <v>1166</v>
      </c>
      <c r="S20" s="2" t="s">
        <v>1167</v>
      </c>
      <c r="T20" s="2" t="s">
        <v>1168</v>
      </c>
      <c r="U20" s="2" t="s">
        <v>1168</v>
      </c>
    </row>
    <row r="21" spans="1:21">
      <c r="A21" s="2">
        <v>21</v>
      </c>
      <c r="B21" s="2" t="s">
        <v>215</v>
      </c>
      <c r="C21" s="2" t="s">
        <v>108</v>
      </c>
      <c r="D21" s="2" t="s">
        <v>14</v>
      </c>
      <c r="E21" s="5" t="s">
        <v>27</v>
      </c>
      <c r="F21" s="2">
        <v>970520400</v>
      </c>
      <c r="G21" s="2" t="s">
        <v>1160</v>
      </c>
      <c r="H21" s="2" t="s">
        <v>1195</v>
      </c>
      <c r="I21" s="6">
        <v>356241324975812</v>
      </c>
      <c r="J21" s="2" t="s">
        <v>1207</v>
      </c>
      <c r="K21" s="2" t="s">
        <v>108</v>
      </c>
      <c r="L21" s="2" t="s">
        <v>108</v>
      </c>
      <c r="M21" s="2" t="s">
        <v>108</v>
      </c>
      <c r="N21" s="2" t="s">
        <v>108</v>
      </c>
      <c r="O21" s="3">
        <v>45301</v>
      </c>
      <c r="P21" s="3">
        <v>44559</v>
      </c>
      <c r="Q21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7 meses</v>
      </c>
      <c r="R21" s="2" t="s">
        <v>1166</v>
      </c>
      <c r="S21" s="2" t="s">
        <v>1167</v>
      </c>
      <c r="T21" s="2" t="s">
        <v>1176</v>
      </c>
      <c r="U21" s="2" t="s">
        <v>1176</v>
      </c>
    </row>
    <row r="22" spans="1:21">
      <c r="A22" s="2">
        <v>22</v>
      </c>
      <c r="B22" s="2" t="s">
        <v>221</v>
      </c>
      <c r="C22" s="2" t="s">
        <v>108</v>
      </c>
      <c r="D22" s="2" t="s">
        <v>14</v>
      </c>
      <c r="E22" s="5" t="s">
        <v>29</v>
      </c>
      <c r="F22" s="2">
        <v>946549573</v>
      </c>
      <c r="G22" s="2" t="s">
        <v>1160</v>
      </c>
      <c r="H22" s="2" t="s">
        <v>1179</v>
      </c>
      <c r="I22" s="6">
        <v>351456832088362</v>
      </c>
      <c r="J22" s="2" t="s">
        <v>1208</v>
      </c>
      <c r="K22" s="2" t="s">
        <v>108</v>
      </c>
      <c r="L22" s="2" t="s">
        <v>108</v>
      </c>
      <c r="M22" s="2" t="s">
        <v>108</v>
      </c>
      <c r="N22" s="2" t="s">
        <v>108</v>
      </c>
      <c r="O22" s="3">
        <v>45574</v>
      </c>
      <c r="P22" s="3">
        <v>45735</v>
      </c>
      <c r="Q22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10 meses</v>
      </c>
      <c r="R22" s="2" t="s">
        <v>1166</v>
      </c>
      <c r="S22" s="2" t="s">
        <v>1167</v>
      </c>
      <c r="T22" s="2" t="s">
        <v>1168</v>
      </c>
      <c r="U22" s="2" t="s">
        <v>1168</v>
      </c>
    </row>
    <row r="23" spans="1:21">
      <c r="A23" s="2">
        <v>145</v>
      </c>
      <c r="B23" s="2" t="s">
        <v>224</v>
      </c>
      <c r="C23" s="2" t="s">
        <v>108</v>
      </c>
      <c r="D23" s="2" t="s">
        <v>14</v>
      </c>
      <c r="E23" s="5" t="s">
        <v>40</v>
      </c>
      <c r="F23" s="2">
        <v>983546931</v>
      </c>
      <c r="G23" s="2" t="s">
        <v>1160</v>
      </c>
      <c r="H23" s="2" t="s">
        <v>1169</v>
      </c>
      <c r="I23" s="6">
        <v>357494913788091</v>
      </c>
      <c r="J23" s="2" t="s">
        <v>1209</v>
      </c>
      <c r="K23" s="2" t="s">
        <v>1163</v>
      </c>
      <c r="L23" s="2" t="s">
        <v>108</v>
      </c>
      <c r="M23" s="2" t="s">
        <v>108</v>
      </c>
      <c r="N23" s="2" t="s">
        <v>108</v>
      </c>
      <c r="O23" s="3">
        <v>45118</v>
      </c>
      <c r="P23" s="3">
        <v>45663</v>
      </c>
      <c r="Q23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1 mes</v>
      </c>
      <c r="R23" s="2" t="s">
        <v>1166</v>
      </c>
      <c r="S23" s="2" t="s">
        <v>1167</v>
      </c>
      <c r="T23" s="2" t="s">
        <v>1168</v>
      </c>
      <c r="U23" s="2" t="s">
        <v>1168</v>
      </c>
    </row>
    <row r="24" spans="1:21">
      <c r="A24" s="2">
        <v>23</v>
      </c>
      <c r="B24" s="2" t="s">
        <v>235</v>
      </c>
      <c r="C24" s="2" t="s">
        <v>108</v>
      </c>
      <c r="D24" s="2" t="s">
        <v>14</v>
      </c>
      <c r="E24" s="5" t="s">
        <v>27</v>
      </c>
      <c r="F24" s="2">
        <v>973182098</v>
      </c>
      <c r="G24" s="2" t="s">
        <v>1160</v>
      </c>
      <c r="H24" s="2" t="s">
        <v>1210</v>
      </c>
      <c r="I24" s="6">
        <v>358055386150900</v>
      </c>
      <c r="J24" s="2" t="s">
        <v>1211</v>
      </c>
      <c r="K24" s="2" t="s">
        <v>108</v>
      </c>
      <c r="L24" s="2" t="s">
        <v>108</v>
      </c>
      <c r="M24" s="2" t="s">
        <v>108</v>
      </c>
      <c r="N24" s="2" t="s">
        <v>108</v>
      </c>
      <c r="O24" s="3">
        <v>45301</v>
      </c>
      <c r="P24" s="3">
        <v>45432</v>
      </c>
      <c r="Q24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7 meses</v>
      </c>
      <c r="R24" s="2" t="s">
        <v>1166</v>
      </c>
      <c r="S24" s="2" t="s">
        <v>1167</v>
      </c>
      <c r="T24" s="2" t="s">
        <v>1176</v>
      </c>
      <c r="U24" s="2" t="s">
        <v>1176</v>
      </c>
    </row>
    <row r="25" spans="1:21">
      <c r="A25" s="2">
        <v>24</v>
      </c>
      <c r="B25" s="2" t="s">
        <v>239</v>
      </c>
      <c r="C25" s="2" t="s">
        <v>108</v>
      </c>
      <c r="D25" s="2" t="s">
        <v>14</v>
      </c>
      <c r="E25" s="5" t="s">
        <v>39</v>
      </c>
      <c r="F25" s="2">
        <v>990384631</v>
      </c>
      <c r="G25" s="2" t="s">
        <v>1160</v>
      </c>
      <c r="H25" s="2" t="s">
        <v>1191</v>
      </c>
      <c r="I25" s="6">
        <v>356034165579524</v>
      </c>
      <c r="J25" s="2" t="s">
        <v>1212</v>
      </c>
      <c r="K25" s="2" t="s">
        <v>108</v>
      </c>
      <c r="L25" s="2" t="s">
        <v>108</v>
      </c>
      <c r="M25" s="2" t="s">
        <v>108</v>
      </c>
      <c r="N25" s="2" t="s">
        <v>108</v>
      </c>
      <c r="O25" s="3">
        <v>45966</v>
      </c>
      <c r="P25" s="3">
        <v>45972</v>
      </c>
      <c r="Q25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0 años y 9 meses</v>
      </c>
      <c r="R25" s="2" t="s">
        <v>1166</v>
      </c>
      <c r="S25" s="2" t="s">
        <v>1167</v>
      </c>
      <c r="T25" s="2" t="s">
        <v>1168</v>
      </c>
      <c r="U25" s="2" t="s">
        <v>1168</v>
      </c>
    </row>
    <row r="26" spans="1:21">
      <c r="A26" s="2">
        <v>151</v>
      </c>
      <c r="B26" s="2" t="s">
        <v>243</v>
      </c>
      <c r="C26" s="2" t="s">
        <v>108</v>
      </c>
      <c r="D26" s="2" t="s">
        <v>14</v>
      </c>
      <c r="E26" s="5" t="s">
        <v>27</v>
      </c>
      <c r="F26" s="2">
        <v>961436504</v>
      </c>
      <c r="G26" s="2" t="s">
        <v>1160</v>
      </c>
      <c r="H26" s="2" t="s">
        <v>1191</v>
      </c>
      <c r="I26" s="6">
        <v>357269400485363</v>
      </c>
      <c r="J26" s="2" t="s">
        <v>1213</v>
      </c>
      <c r="K26" s="2" t="s">
        <v>1214</v>
      </c>
      <c r="L26" s="2" t="s">
        <v>1164</v>
      </c>
      <c r="M26" s="2" t="s">
        <v>1215</v>
      </c>
      <c r="N26" s="2" t="s">
        <v>1216</v>
      </c>
      <c r="O26" s="3">
        <v>45911</v>
      </c>
      <c r="P26" s="3">
        <v>46059</v>
      </c>
      <c r="Q26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0 años y 11 meses</v>
      </c>
      <c r="R26" s="2" t="s">
        <v>1166</v>
      </c>
      <c r="S26" s="2" t="s">
        <v>1167</v>
      </c>
      <c r="T26" s="2" t="s">
        <v>1168</v>
      </c>
      <c r="U26" s="2" t="s">
        <v>1168</v>
      </c>
    </row>
    <row r="27" spans="1:21">
      <c r="A27" s="2">
        <v>25</v>
      </c>
      <c r="B27" s="2" t="s">
        <v>250</v>
      </c>
      <c r="C27" s="2" t="s">
        <v>108</v>
      </c>
      <c r="D27" s="2" t="s">
        <v>14</v>
      </c>
      <c r="E27" s="5" t="s">
        <v>29</v>
      </c>
      <c r="F27" s="2">
        <v>981586910</v>
      </c>
      <c r="G27" s="2" t="s">
        <v>1160</v>
      </c>
      <c r="H27" s="2" t="s">
        <v>1169</v>
      </c>
      <c r="I27" s="6">
        <v>357494913804450</v>
      </c>
      <c r="J27" s="2" t="s">
        <v>1217</v>
      </c>
      <c r="K27" s="2" t="s">
        <v>108</v>
      </c>
      <c r="L27" s="2" t="s">
        <v>108</v>
      </c>
      <c r="M27" s="2" t="s">
        <v>108</v>
      </c>
      <c r="N27" s="2" t="s">
        <v>108</v>
      </c>
      <c r="O27" s="3">
        <v>45118</v>
      </c>
      <c r="P27" s="3">
        <v>45754</v>
      </c>
      <c r="Q27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1 mes</v>
      </c>
      <c r="R27" s="2" t="s">
        <v>1166</v>
      </c>
      <c r="S27" s="2" t="s">
        <v>1167</v>
      </c>
      <c r="T27" s="2" t="s">
        <v>1168</v>
      </c>
      <c r="U27" s="2" t="s">
        <v>1168</v>
      </c>
    </row>
    <row r="28" spans="1:21">
      <c r="A28" s="2">
        <v>26</v>
      </c>
      <c r="B28" s="2" t="s">
        <v>253</v>
      </c>
      <c r="C28" s="2" t="s">
        <v>108</v>
      </c>
      <c r="D28" s="2" t="s">
        <v>14</v>
      </c>
      <c r="E28" s="5" t="s">
        <v>36</v>
      </c>
      <c r="F28" s="2">
        <v>961431648</v>
      </c>
      <c r="G28" s="2" t="s">
        <v>1160</v>
      </c>
      <c r="H28" s="2" t="s">
        <v>1179</v>
      </c>
      <c r="I28" s="6">
        <v>351456832073497</v>
      </c>
      <c r="J28" s="2" t="s">
        <v>1218</v>
      </c>
      <c r="K28" s="2" t="s">
        <v>108</v>
      </c>
      <c r="L28" s="2" t="s">
        <v>108</v>
      </c>
      <c r="M28" s="2" t="s">
        <v>108</v>
      </c>
      <c r="N28" s="2" t="s">
        <v>108</v>
      </c>
      <c r="O28" s="3">
        <v>45673</v>
      </c>
      <c r="P28" s="3">
        <v>45721</v>
      </c>
      <c r="Q28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6 meses</v>
      </c>
      <c r="R28" s="2" t="s">
        <v>1166</v>
      </c>
      <c r="S28" s="2" t="s">
        <v>1167</v>
      </c>
      <c r="T28" s="2" t="s">
        <v>1168</v>
      </c>
      <c r="U28" s="2" t="s">
        <v>1168</v>
      </c>
    </row>
    <row r="29" spans="1:21">
      <c r="A29" s="2">
        <v>27</v>
      </c>
      <c r="B29" s="2" t="s">
        <v>258</v>
      </c>
      <c r="C29" s="2" t="s">
        <v>108</v>
      </c>
      <c r="D29" s="2" t="s">
        <v>14</v>
      </c>
      <c r="E29" s="5" t="s">
        <v>31</v>
      </c>
      <c r="F29" s="2" t="s">
        <v>1200</v>
      </c>
      <c r="G29" s="2" t="s">
        <v>108</v>
      </c>
      <c r="H29" s="2" t="s">
        <v>1206</v>
      </c>
      <c r="I29" s="6" t="s">
        <v>1206</v>
      </c>
      <c r="J29" s="2" t="s">
        <v>1206</v>
      </c>
      <c r="K29" s="2" t="s">
        <v>108</v>
      </c>
      <c r="L29" s="2" t="s">
        <v>108</v>
      </c>
      <c r="M29" s="2" t="s">
        <v>108</v>
      </c>
      <c r="N29" s="2" t="s">
        <v>108</v>
      </c>
      <c r="O29" s="2" t="s">
        <v>108</v>
      </c>
      <c r="P29" s="2" t="s">
        <v>108</v>
      </c>
      <c r="Q29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-</v>
      </c>
      <c r="R29" s="2" t="s">
        <v>108</v>
      </c>
      <c r="S29" s="2" t="s">
        <v>108</v>
      </c>
      <c r="T29" s="2" t="s">
        <v>1168</v>
      </c>
      <c r="U29" s="2" t="s">
        <v>1168</v>
      </c>
    </row>
    <row r="30" spans="1:21">
      <c r="A30" s="2">
        <v>28</v>
      </c>
      <c r="B30" s="2" t="s">
        <v>262</v>
      </c>
      <c r="C30" s="2" t="s">
        <v>108</v>
      </c>
      <c r="D30" s="2" t="s">
        <v>14</v>
      </c>
      <c r="E30" s="5" t="s">
        <v>37</v>
      </c>
      <c r="F30" s="2">
        <v>977601589</v>
      </c>
      <c r="G30" s="2" t="s">
        <v>1160</v>
      </c>
      <c r="H30" s="2" t="s">
        <v>1219</v>
      </c>
      <c r="I30" s="6">
        <v>356263632058081</v>
      </c>
      <c r="J30" s="2" t="s">
        <v>1220</v>
      </c>
      <c r="K30" s="2" t="s">
        <v>108</v>
      </c>
      <c r="L30" s="2" t="s">
        <v>108</v>
      </c>
      <c r="M30" s="2" t="s">
        <v>108</v>
      </c>
      <c r="N30" s="2" t="s">
        <v>108</v>
      </c>
      <c r="O30" s="3">
        <v>45687</v>
      </c>
      <c r="P30" s="3">
        <v>45688</v>
      </c>
      <c r="Q30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6 meses</v>
      </c>
      <c r="R30" s="2" t="s">
        <v>1166</v>
      </c>
      <c r="S30" s="2" t="s">
        <v>1167</v>
      </c>
      <c r="T30" s="2" t="s">
        <v>1168</v>
      </c>
      <c r="U30" s="2" t="s">
        <v>1168</v>
      </c>
    </row>
    <row r="31" spans="1:21">
      <c r="A31" s="2">
        <v>29</v>
      </c>
      <c r="B31" s="2" t="s">
        <v>268</v>
      </c>
      <c r="C31" s="2" t="s">
        <v>108</v>
      </c>
      <c r="D31" s="2" t="s">
        <v>14</v>
      </c>
      <c r="E31" s="5" t="s">
        <v>27</v>
      </c>
      <c r="F31" s="2">
        <v>995420657</v>
      </c>
      <c r="G31" s="2" t="s">
        <v>1160</v>
      </c>
      <c r="H31" s="2" t="s">
        <v>1195</v>
      </c>
      <c r="I31" s="6">
        <v>356241324884907</v>
      </c>
      <c r="J31" s="2" t="s">
        <v>1221</v>
      </c>
      <c r="K31" s="2" t="s">
        <v>108</v>
      </c>
      <c r="L31" s="2" t="s">
        <v>108</v>
      </c>
      <c r="M31" s="2" t="s">
        <v>108</v>
      </c>
      <c r="N31" s="2" t="s">
        <v>108</v>
      </c>
      <c r="O31" s="3">
        <v>45301</v>
      </c>
      <c r="P31" s="3">
        <v>45950</v>
      </c>
      <c r="Q31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7 meses</v>
      </c>
      <c r="R31" s="2" t="s">
        <v>1166</v>
      </c>
      <c r="S31" s="2" t="s">
        <v>1167</v>
      </c>
      <c r="T31" s="2" t="s">
        <v>1176</v>
      </c>
      <c r="U31" s="2" t="s">
        <v>1176</v>
      </c>
    </row>
    <row r="32" spans="1:21">
      <c r="A32" s="2">
        <v>30</v>
      </c>
      <c r="B32" s="2" t="s">
        <v>126</v>
      </c>
      <c r="C32" s="2" t="s">
        <v>108</v>
      </c>
      <c r="D32" s="2" t="s">
        <v>14</v>
      </c>
      <c r="E32" s="5" t="s">
        <v>27</v>
      </c>
      <c r="F32" s="2">
        <v>983430233</v>
      </c>
      <c r="G32" s="2" t="s">
        <v>1160</v>
      </c>
      <c r="H32" s="2" t="s">
        <v>1191</v>
      </c>
      <c r="I32" s="6">
        <v>356034165577577</v>
      </c>
      <c r="J32" s="2" t="s">
        <v>1222</v>
      </c>
      <c r="K32" s="2" t="s">
        <v>108</v>
      </c>
      <c r="L32" s="2" t="s">
        <v>108</v>
      </c>
      <c r="M32" s="2" t="s">
        <v>108</v>
      </c>
      <c r="N32" s="2" t="s">
        <v>108</v>
      </c>
      <c r="O32" s="3">
        <v>45966</v>
      </c>
      <c r="P32" s="3">
        <v>45972</v>
      </c>
      <c r="Q32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0 años y 9 meses</v>
      </c>
      <c r="R32" s="2" t="s">
        <v>1166</v>
      </c>
      <c r="S32" s="2" t="s">
        <v>1167</v>
      </c>
      <c r="T32" s="2" t="s">
        <v>1176</v>
      </c>
      <c r="U32" s="2" t="s">
        <v>1176</v>
      </c>
    </row>
    <row r="33" spans="1:21">
      <c r="A33" s="2">
        <v>31</v>
      </c>
      <c r="B33" s="2" t="s">
        <v>275</v>
      </c>
      <c r="C33" s="2" t="s">
        <v>108</v>
      </c>
      <c r="D33" s="2" t="s">
        <v>14</v>
      </c>
      <c r="E33" s="5" t="s">
        <v>27</v>
      </c>
      <c r="F33" s="2">
        <v>965722473</v>
      </c>
      <c r="G33" s="2" t="s">
        <v>1160</v>
      </c>
      <c r="H33" s="2" t="s">
        <v>1223</v>
      </c>
      <c r="I33" s="6">
        <v>352396400027856</v>
      </c>
      <c r="J33" s="2" t="s">
        <v>1224</v>
      </c>
      <c r="K33" s="2" t="s">
        <v>108</v>
      </c>
      <c r="L33" s="2" t="s">
        <v>108</v>
      </c>
      <c r="M33" s="2" t="s">
        <v>108</v>
      </c>
      <c r="N33" s="2" t="s">
        <v>108</v>
      </c>
      <c r="O33" s="3">
        <v>45440</v>
      </c>
      <c r="P33" s="3">
        <v>45798</v>
      </c>
      <c r="Q33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2 meses</v>
      </c>
      <c r="R33" s="2" t="s">
        <v>1166</v>
      </c>
      <c r="S33" s="2" t="s">
        <v>1167</v>
      </c>
      <c r="T33" s="2" t="s">
        <v>1176</v>
      </c>
      <c r="U33" s="2" t="s">
        <v>1176</v>
      </c>
    </row>
    <row r="34" spans="1:21">
      <c r="A34" s="2">
        <v>32</v>
      </c>
      <c r="B34" s="2" t="s">
        <v>280</v>
      </c>
      <c r="C34" s="2" t="s">
        <v>108</v>
      </c>
      <c r="D34" s="2" t="s">
        <v>14</v>
      </c>
      <c r="E34" s="5" t="s">
        <v>24</v>
      </c>
      <c r="F34" s="2">
        <v>983455378</v>
      </c>
      <c r="G34" s="2" t="s">
        <v>1160</v>
      </c>
      <c r="H34" s="2" t="s">
        <v>1179</v>
      </c>
      <c r="I34" s="6">
        <v>351456830437348</v>
      </c>
      <c r="J34" s="2" t="s">
        <v>1225</v>
      </c>
      <c r="K34" s="2" t="s">
        <v>108</v>
      </c>
      <c r="L34" s="2" t="s">
        <v>108</v>
      </c>
      <c r="M34" s="2" t="s">
        <v>108</v>
      </c>
      <c r="N34" s="2" t="s">
        <v>108</v>
      </c>
      <c r="O34" s="3">
        <v>45673</v>
      </c>
      <c r="P34" s="3">
        <v>45870</v>
      </c>
      <c r="Q34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6 meses</v>
      </c>
      <c r="R34" s="2" t="s">
        <v>1166</v>
      </c>
      <c r="S34" s="2" t="s">
        <v>1167</v>
      </c>
      <c r="T34" s="2" t="s">
        <v>1168</v>
      </c>
      <c r="U34" s="2" t="s">
        <v>1168</v>
      </c>
    </row>
    <row r="35" spans="1:21">
      <c r="A35" s="2">
        <v>33</v>
      </c>
      <c r="B35" s="2" t="s">
        <v>284</v>
      </c>
      <c r="C35" s="2" t="s">
        <v>108</v>
      </c>
      <c r="D35" s="2" t="s">
        <v>14</v>
      </c>
      <c r="E35" s="5" t="s">
        <v>22</v>
      </c>
      <c r="F35" s="2">
        <v>977888558</v>
      </c>
      <c r="G35" s="2" t="s">
        <v>1160</v>
      </c>
      <c r="H35" s="2" t="s">
        <v>1179</v>
      </c>
      <c r="I35" s="6">
        <v>359104250656003</v>
      </c>
      <c r="J35" s="2" t="s">
        <v>1226</v>
      </c>
      <c r="K35" s="2" t="s">
        <v>108</v>
      </c>
      <c r="L35" s="2" t="s">
        <v>108</v>
      </c>
      <c r="M35" s="2" t="s">
        <v>108</v>
      </c>
      <c r="N35" s="2" t="s">
        <v>108</v>
      </c>
      <c r="O35" s="3">
        <v>45440</v>
      </c>
      <c r="P35" s="3">
        <v>45558</v>
      </c>
      <c r="Q35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2 meses</v>
      </c>
      <c r="R35" s="2" t="s">
        <v>1166</v>
      </c>
      <c r="S35" s="2" t="s">
        <v>1167</v>
      </c>
      <c r="T35" s="2" t="s">
        <v>1168</v>
      </c>
      <c r="U35" s="2" t="s">
        <v>1168</v>
      </c>
    </row>
    <row r="36" spans="1:21">
      <c r="A36" s="2">
        <v>34</v>
      </c>
      <c r="B36" s="2" t="s">
        <v>289</v>
      </c>
      <c r="C36" s="2" t="s">
        <v>108</v>
      </c>
      <c r="D36" s="2" t="s">
        <v>14</v>
      </c>
      <c r="E36" s="5" t="s">
        <v>22</v>
      </c>
      <c r="F36" s="2">
        <v>961002213</v>
      </c>
      <c r="G36" s="2" t="s">
        <v>1160</v>
      </c>
      <c r="H36" s="2" t="s">
        <v>1223</v>
      </c>
      <c r="I36" s="6">
        <v>356263315582878</v>
      </c>
      <c r="J36" s="2" t="s">
        <v>1227</v>
      </c>
      <c r="K36" s="2" t="s">
        <v>108</v>
      </c>
      <c r="L36" s="2" t="s">
        <v>108</v>
      </c>
      <c r="M36" s="2" t="s">
        <v>108</v>
      </c>
      <c r="N36" s="2" t="s">
        <v>108</v>
      </c>
      <c r="O36" s="3">
        <v>45301</v>
      </c>
      <c r="P36" s="3">
        <v>45617</v>
      </c>
      <c r="Q36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7 meses</v>
      </c>
      <c r="R36" s="2" t="s">
        <v>1166</v>
      </c>
      <c r="S36" s="2" t="s">
        <v>1167</v>
      </c>
      <c r="T36" s="2" t="s">
        <v>1176</v>
      </c>
      <c r="U36" s="2" t="s">
        <v>1176</v>
      </c>
    </row>
    <row r="37" spans="1:21">
      <c r="A37" s="2">
        <v>35</v>
      </c>
      <c r="B37" s="2" t="s">
        <v>99</v>
      </c>
      <c r="C37" s="2" t="s">
        <v>108</v>
      </c>
      <c r="D37" s="2" t="s">
        <v>14</v>
      </c>
      <c r="E37" s="5" t="s">
        <v>24</v>
      </c>
      <c r="F37" s="2">
        <v>983563193</v>
      </c>
      <c r="G37" s="2" t="s">
        <v>1160</v>
      </c>
      <c r="H37" s="2" t="s">
        <v>1169</v>
      </c>
      <c r="I37" s="6">
        <v>357494912723602</v>
      </c>
      <c r="J37" s="2" t="s">
        <v>1228</v>
      </c>
      <c r="K37" s="2" t="s">
        <v>108</v>
      </c>
      <c r="L37" s="2" t="s">
        <v>108</v>
      </c>
      <c r="M37" s="2" t="s">
        <v>108</v>
      </c>
      <c r="N37" s="2" t="s">
        <v>108</v>
      </c>
      <c r="O37" s="3">
        <v>45118</v>
      </c>
      <c r="P37" s="3">
        <v>45924</v>
      </c>
      <c r="Q37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1 mes</v>
      </c>
      <c r="R37" s="2" t="s">
        <v>1166</v>
      </c>
      <c r="S37" s="2" t="s">
        <v>1167</v>
      </c>
      <c r="T37" s="2" t="s">
        <v>1168</v>
      </c>
      <c r="U37" s="2" t="s">
        <v>1168</v>
      </c>
    </row>
    <row r="38" spans="1:21">
      <c r="A38" s="2">
        <v>148</v>
      </c>
      <c r="B38" s="2" t="s">
        <v>300</v>
      </c>
      <c r="C38" s="2" t="s">
        <v>108</v>
      </c>
      <c r="D38" s="2" t="s">
        <v>14</v>
      </c>
      <c r="E38" s="5" t="s">
        <v>27</v>
      </c>
      <c r="F38" s="2">
        <v>933673488</v>
      </c>
      <c r="G38" s="2" t="s">
        <v>1160</v>
      </c>
      <c r="H38" s="2" t="s">
        <v>1229</v>
      </c>
      <c r="I38" s="6">
        <v>350391901390657</v>
      </c>
      <c r="J38" s="2" t="s">
        <v>1230</v>
      </c>
      <c r="K38" s="2" t="s">
        <v>1163</v>
      </c>
      <c r="L38" s="2" t="s">
        <v>108</v>
      </c>
      <c r="M38" s="2" t="s">
        <v>108</v>
      </c>
      <c r="N38" s="2" t="s">
        <v>108</v>
      </c>
      <c r="O38" s="3">
        <v>44946</v>
      </c>
      <c r="P38" s="3">
        <v>45734</v>
      </c>
      <c r="Q38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6 meses</v>
      </c>
      <c r="R38" s="2" t="s">
        <v>1166</v>
      </c>
      <c r="S38" s="2" t="s">
        <v>1167</v>
      </c>
      <c r="T38" s="2" t="s">
        <v>1168</v>
      </c>
      <c r="U38" s="2" t="s">
        <v>1168</v>
      </c>
    </row>
    <row r="39" spans="1:21">
      <c r="A39" s="2">
        <v>36</v>
      </c>
      <c r="B39" s="2" t="s">
        <v>309</v>
      </c>
      <c r="C39" s="2" t="s">
        <v>108</v>
      </c>
      <c r="D39" s="2" t="s">
        <v>14</v>
      </c>
      <c r="E39" s="5" t="s">
        <v>40</v>
      </c>
      <c r="F39" s="2">
        <v>933673635</v>
      </c>
      <c r="G39" s="2" t="s">
        <v>1160</v>
      </c>
      <c r="H39" s="2" t="s">
        <v>1195</v>
      </c>
      <c r="I39" s="6">
        <v>356241324972116</v>
      </c>
      <c r="J39" s="2" t="s">
        <v>1231</v>
      </c>
      <c r="K39" s="2" t="s">
        <v>108</v>
      </c>
      <c r="L39" s="2" t="s">
        <v>108</v>
      </c>
      <c r="M39" s="2" t="s">
        <v>108</v>
      </c>
      <c r="N39" s="2" t="s">
        <v>108</v>
      </c>
      <c r="O39" s="3">
        <v>45301</v>
      </c>
      <c r="P39" s="3">
        <v>45439</v>
      </c>
      <c r="Q39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7 meses</v>
      </c>
      <c r="R39" s="2" t="s">
        <v>1166</v>
      </c>
      <c r="S39" s="2" t="s">
        <v>1167</v>
      </c>
      <c r="T39" s="2" t="s">
        <v>1168</v>
      </c>
      <c r="U39" s="2" t="s">
        <v>1168</v>
      </c>
    </row>
    <row r="40" spans="1:21" ht="29.25">
      <c r="A40" s="2">
        <v>134</v>
      </c>
      <c r="B40" s="2" t="s">
        <v>1232</v>
      </c>
      <c r="C40" s="2" t="s">
        <v>108</v>
      </c>
      <c r="D40" s="2" t="s">
        <v>14</v>
      </c>
      <c r="E40" s="5" t="s">
        <v>25</v>
      </c>
      <c r="F40" s="2">
        <v>992674915</v>
      </c>
      <c r="G40" s="2" t="s">
        <v>1160</v>
      </c>
      <c r="H40" s="2" t="s">
        <v>1223</v>
      </c>
      <c r="I40" s="6">
        <v>356263315560163</v>
      </c>
      <c r="J40" s="2" t="s">
        <v>1233</v>
      </c>
      <c r="K40" s="2" t="s">
        <v>108</v>
      </c>
      <c r="L40" s="2" t="s">
        <v>108</v>
      </c>
      <c r="M40" s="2" t="s">
        <v>108</v>
      </c>
      <c r="N40" s="2" t="s">
        <v>108</v>
      </c>
      <c r="O40" s="3">
        <v>44946</v>
      </c>
      <c r="P40" s="3">
        <v>45670</v>
      </c>
      <c r="Q40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6 meses</v>
      </c>
      <c r="R40" s="2" t="s">
        <v>1166</v>
      </c>
      <c r="S40" s="2" t="s">
        <v>1167</v>
      </c>
      <c r="T40" s="2" t="s">
        <v>1168</v>
      </c>
      <c r="U40" s="2" t="s">
        <v>1168</v>
      </c>
    </row>
    <row r="41" spans="1:21">
      <c r="A41" s="2">
        <v>38</v>
      </c>
      <c r="B41" s="2" t="s">
        <v>320</v>
      </c>
      <c r="C41" s="2" t="s">
        <v>108</v>
      </c>
      <c r="D41" s="2" t="s">
        <v>14</v>
      </c>
      <c r="E41" s="5" t="s">
        <v>34</v>
      </c>
      <c r="F41" s="2">
        <v>975370508</v>
      </c>
      <c r="G41" s="2" t="s">
        <v>1181</v>
      </c>
      <c r="H41" s="2" t="s">
        <v>1234</v>
      </c>
      <c r="I41" s="6">
        <v>351479722756427</v>
      </c>
      <c r="J41" s="2" t="s">
        <v>1235</v>
      </c>
      <c r="K41" s="2" t="s">
        <v>108</v>
      </c>
      <c r="L41" s="2" t="s">
        <v>108</v>
      </c>
      <c r="M41" s="2" t="s">
        <v>108</v>
      </c>
      <c r="N41" s="2" t="s">
        <v>108</v>
      </c>
      <c r="O41" s="3">
        <v>45239</v>
      </c>
      <c r="P41" s="3">
        <v>45245</v>
      </c>
      <c r="Q41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9 meses</v>
      </c>
      <c r="R41" s="2" t="s">
        <v>1184</v>
      </c>
      <c r="S41" s="2" t="s">
        <v>1236</v>
      </c>
      <c r="T41" s="2" t="s">
        <v>1168</v>
      </c>
      <c r="U41" s="2" t="s">
        <v>1168</v>
      </c>
    </row>
    <row r="42" spans="1:21">
      <c r="A42" s="2">
        <v>39</v>
      </c>
      <c r="B42" s="2" t="s">
        <v>324</v>
      </c>
      <c r="C42" s="2" t="s">
        <v>108</v>
      </c>
      <c r="D42" s="2" t="s">
        <v>14</v>
      </c>
      <c r="E42" s="5" t="s">
        <v>27</v>
      </c>
      <c r="F42" s="2">
        <v>975500927</v>
      </c>
      <c r="G42" s="2" t="s">
        <v>1160</v>
      </c>
      <c r="H42" s="2" t="s">
        <v>1195</v>
      </c>
      <c r="I42" s="6">
        <v>356241324973734</v>
      </c>
      <c r="J42" s="2" t="s">
        <v>1237</v>
      </c>
      <c r="K42" s="2" t="s">
        <v>108</v>
      </c>
      <c r="L42" s="2" t="s">
        <v>108</v>
      </c>
      <c r="M42" s="2" t="s">
        <v>108</v>
      </c>
      <c r="N42" s="2" t="s">
        <v>108</v>
      </c>
      <c r="O42" s="3">
        <v>45301</v>
      </c>
      <c r="P42" s="3">
        <v>45316</v>
      </c>
      <c r="Q42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7 meses</v>
      </c>
      <c r="R42" s="2" t="s">
        <v>1166</v>
      </c>
      <c r="S42" s="2" t="s">
        <v>1167</v>
      </c>
      <c r="T42" s="2" t="s">
        <v>1176</v>
      </c>
      <c r="U42" s="2" t="s">
        <v>1176</v>
      </c>
    </row>
    <row r="43" spans="1:21">
      <c r="A43" s="2">
        <v>41</v>
      </c>
      <c r="B43" s="2" t="s">
        <v>336</v>
      </c>
      <c r="C43" s="2" t="s">
        <v>108</v>
      </c>
      <c r="D43" s="2" t="s">
        <v>14</v>
      </c>
      <c r="E43" s="5" t="s">
        <v>41</v>
      </c>
      <c r="F43" s="2">
        <v>946001861</v>
      </c>
      <c r="G43" s="2" t="s">
        <v>1160</v>
      </c>
      <c r="H43" s="2" t="s">
        <v>1238</v>
      </c>
      <c r="I43" s="6" t="s">
        <v>1239</v>
      </c>
      <c r="J43" s="2" t="s">
        <v>1240</v>
      </c>
      <c r="K43" s="2" t="s">
        <v>1214</v>
      </c>
      <c r="L43" s="2" t="s">
        <v>108</v>
      </c>
      <c r="M43" s="2" t="s">
        <v>108</v>
      </c>
      <c r="N43" s="2" t="s">
        <v>108</v>
      </c>
      <c r="O43" s="3">
        <v>46086</v>
      </c>
      <c r="P43" s="3">
        <v>46087</v>
      </c>
      <c r="Q43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0 años y 5 meses</v>
      </c>
      <c r="R43" s="2" t="s">
        <v>1166</v>
      </c>
      <c r="S43" s="2" t="s">
        <v>1167</v>
      </c>
      <c r="T43" s="2" t="s">
        <v>1168</v>
      </c>
      <c r="U43" s="2" t="s">
        <v>1168</v>
      </c>
    </row>
    <row r="44" spans="1:21">
      <c r="A44" s="2">
        <v>127</v>
      </c>
      <c r="B44" s="2" t="s">
        <v>341</v>
      </c>
      <c r="C44" s="2" t="s">
        <v>108</v>
      </c>
      <c r="D44" s="2" t="s">
        <v>14</v>
      </c>
      <c r="E44" s="5" t="s">
        <v>27</v>
      </c>
      <c r="F44" s="2">
        <v>981587949</v>
      </c>
      <c r="G44" s="2" t="s">
        <v>1160</v>
      </c>
      <c r="H44" s="2" t="s">
        <v>1191</v>
      </c>
      <c r="I44" s="6">
        <v>357269400472973</v>
      </c>
      <c r="J44" s="2" t="s">
        <v>1241</v>
      </c>
      <c r="K44" s="2" t="s">
        <v>108</v>
      </c>
      <c r="L44" s="2" t="s">
        <v>108</v>
      </c>
      <c r="M44" s="2" t="s">
        <v>108</v>
      </c>
      <c r="N44" s="2" t="s">
        <v>108</v>
      </c>
      <c r="O44" s="3">
        <v>45911</v>
      </c>
      <c r="P44" s="3">
        <v>45959</v>
      </c>
      <c r="Q44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0 años y 11 meses</v>
      </c>
      <c r="R44" s="2" t="s">
        <v>1166</v>
      </c>
      <c r="S44" s="2" t="s">
        <v>1167</v>
      </c>
      <c r="T44" s="2" t="s">
        <v>1176</v>
      </c>
      <c r="U44" s="2" t="s">
        <v>1176</v>
      </c>
    </row>
    <row r="45" spans="1:21">
      <c r="A45" s="2">
        <v>43</v>
      </c>
      <c r="B45" s="2" t="s">
        <v>345</v>
      </c>
      <c r="C45" s="2" t="s">
        <v>108</v>
      </c>
      <c r="D45" s="2" t="s">
        <v>14</v>
      </c>
      <c r="E45" s="5" t="s">
        <v>41</v>
      </c>
      <c r="F45" s="2">
        <v>922464999</v>
      </c>
      <c r="G45" s="2" t="s">
        <v>1160</v>
      </c>
      <c r="H45" s="2" t="s">
        <v>1191</v>
      </c>
      <c r="I45" s="6">
        <v>357269403141823</v>
      </c>
      <c r="J45" s="2" t="s">
        <v>1242</v>
      </c>
      <c r="K45" s="2" t="s">
        <v>108</v>
      </c>
      <c r="L45" s="2" t="s">
        <v>108</v>
      </c>
      <c r="M45" s="2" t="s">
        <v>108</v>
      </c>
      <c r="N45" s="2" t="s">
        <v>108</v>
      </c>
      <c r="O45" s="3">
        <v>45747</v>
      </c>
      <c r="P45" s="3">
        <v>45762</v>
      </c>
      <c r="Q45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4 meses</v>
      </c>
      <c r="R45" s="2" t="s">
        <v>1166</v>
      </c>
      <c r="S45" s="2" t="s">
        <v>1167</v>
      </c>
      <c r="T45" s="2" t="s">
        <v>1168</v>
      </c>
      <c r="U45" s="2" t="s">
        <v>1168</v>
      </c>
    </row>
    <row r="46" spans="1:21">
      <c r="A46" s="2">
        <v>44</v>
      </c>
      <c r="B46" s="2" t="s">
        <v>350</v>
      </c>
      <c r="C46" s="2" t="s">
        <v>108</v>
      </c>
      <c r="D46" s="2" t="s">
        <v>14</v>
      </c>
      <c r="E46" s="5" t="s">
        <v>21</v>
      </c>
      <c r="F46" s="2">
        <v>994891967</v>
      </c>
      <c r="G46" s="2" t="s">
        <v>1160</v>
      </c>
      <c r="H46" s="2" t="s">
        <v>1191</v>
      </c>
      <c r="I46" s="6">
        <v>357269400222790</v>
      </c>
      <c r="J46" s="2" t="s">
        <v>1243</v>
      </c>
      <c r="K46" s="2" t="s">
        <v>108</v>
      </c>
      <c r="L46" s="2" t="s">
        <v>108</v>
      </c>
      <c r="M46" s="2" t="s">
        <v>108</v>
      </c>
      <c r="N46" s="2" t="s">
        <v>108</v>
      </c>
      <c r="O46" s="3">
        <v>45853</v>
      </c>
      <c r="P46" s="3">
        <v>45855</v>
      </c>
      <c r="Q46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0 meses</v>
      </c>
      <c r="R46" s="2" t="s">
        <v>1166</v>
      </c>
      <c r="S46" s="2" t="s">
        <v>1167</v>
      </c>
      <c r="T46" s="2" t="s">
        <v>1168</v>
      </c>
      <c r="U46" s="2" t="s">
        <v>1168</v>
      </c>
    </row>
    <row r="47" spans="1:21">
      <c r="A47" s="2">
        <v>45</v>
      </c>
      <c r="B47" s="2" t="s">
        <v>356</v>
      </c>
      <c r="C47" s="2" t="s">
        <v>108</v>
      </c>
      <c r="D47" s="2" t="s">
        <v>14</v>
      </c>
      <c r="E47" s="5" t="s">
        <v>29</v>
      </c>
      <c r="F47" s="2">
        <v>933673065</v>
      </c>
      <c r="G47" s="2" t="s">
        <v>1160</v>
      </c>
      <c r="H47" s="2" t="s">
        <v>1223</v>
      </c>
      <c r="I47" s="6">
        <v>356263315554711</v>
      </c>
      <c r="J47" s="2" t="s">
        <v>108</v>
      </c>
      <c r="K47" s="2" t="s">
        <v>108</v>
      </c>
      <c r="L47" s="2" t="s">
        <v>108</v>
      </c>
      <c r="M47" s="2" t="s">
        <v>108</v>
      </c>
      <c r="N47" s="2" t="s">
        <v>108</v>
      </c>
      <c r="O47" s="3">
        <v>44946</v>
      </c>
      <c r="P47" s="3">
        <v>44510</v>
      </c>
      <c r="Q47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6 meses</v>
      </c>
      <c r="R47" s="2" t="s">
        <v>1166</v>
      </c>
      <c r="S47" s="2" t="s">
        <v>1167</v>
      </c>
      <c r="T47" s="2" t="s">
        <v>1176</v>
      </c>
      <c r="U47" s="2" t="s">
        <v>1176</v>
      </c>
    </row>
    <row r="48" spans="1:21">
      <c r="A48" s="2">
        <v>46</v>
      </c>
      <c r="B48" s="2" t="s">
        <v>361</v>
      </c>
      <c r="C48" s="2" t="s">
        <v>108</v>
      </c>
      <c r="D48" s="2" t="s">
        <v>14</v>
      </c>
      <c r="E48" s="5" t="s">
        <v>24</v>
      </c>
      <c r="F48" s="2">
        <v>955155107</v>
      </c>
      <c r="G48" s="2" t="s">
        <v>1160</v>
      </c>
      <c r="H48" s="2" t="s">
        <v>1179</v>
      </c>
      <c r="I48" s="6">
        <v>351456830436068</v>
      </c>
      <c r="J48" s="2" t="s">
        <v>1244</v>
      </c>
      <c r="K48" s="2" t="s">
        <v>1214</v>
      </c>
      <c r="L48" s="2" t="s">
        <v>108</v>
      </c>
      <c r="M48" s="2" t="s">
        <v>108</v>
      </c>
      <c r="N48" s="2" t="s">
        <v>108</v>
      </c>
      <c r="O48" s="3">
        <v>45440</v>
      </c>
      <c r="P48" s="3">
        <v>45870</v>
      </c>
      <c r="Q48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2 meses</v>
      </c>
      <c r="R48" s="2" t="s">
        <v>1166</v>
      </c>
      <c r="S48" s="2" t="s">
        <v>1167</v>
      </c>
      <c r="T48" s="2" t="s">
        <v>1176</v>
      </c>
      <c r="U48" s="2" t="s">
        <v>1176</v>
      </c>
    </row>
    <row r="49" spans="1:21" ht="29.25">
      <c r="A49" s="2">
        <v>47</v>
      </c>
      <c r="B49" s="2" t="s">
        <v>365</v>
      </c>
      <c r="C49" s="2" t="s">
        <v>108</v>
      </c>
      <c r="D49" s="2" t="s">
        <v>14</v>
      </c>
      <c r="E49" s="5" t="s">
        <v>25</v>
      </c>
      <c r="F49" s="2">
        <v>923805522</v>
      </c>
      <c r="G49" s="2" t="s">
        <v>1160</v>
      </c>
      <c r="H49" s="2" t="s">
        <v>1195</v>
      </c>
      <c r="I49" s="6">
        <v>356241324979285</v>
      </c>
      <c r="J49" s="2" t="s">
        <v>1245</v>
      </c>
      <c r="K49" s="2" t="s">
        <v>108</v>
      </c>
      <c r="L49" s="2" t="s">
        <v>108</v>
      </c>
      <c r="M49" s="2" t="s">
        <v>108</v>
      </c>
      <c r="N49" s="2" t="s">
        <v>108</v>
      </c>
      <c r="O49" s="3">
        <v>45301</v>
      </c>
      <c r="P49" s="3">
        <v>45918</v>
      </c>
      <c r="Q49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7 meses</v>
      </c>
      <c r="R49" s="2" t="s">
        <v>1166</v>
      </c>
      <c r="S49" s="2" t="s">
        <v>1167</v>
      </c>
      <c r="T49" s="2" t="s">
        <v>1168</v>
      </c>
      <c r="U49" s="2" t="s">
        <v>1168</v>
      </c>
    </row>
    <row r="50" spans="1:21" ht="29.25">
      <c r="A50" s="2">
        <v>16</v>
      </c>
      <c r="B50" s="2" t="s">
        <v>1246</v>
      </c>
      <c r="C50" s="2" t="s">
        <v>108</v>
      </c>
      <c r="D50" s="2" t="s">
        <v>14</v>
      </c>
      <c r="E50" s="5" t="s">
        <v>25</v>
      </c>
      <c r="F50" s="2">
        <v>961436563</v>
      </c>
      <c r="G50" s="2" t="s">
        <v>1160</v>
      </c>
      <c r="H50" s="2" t="s">
        <v>1169</v>
      </c>
      <c r="I50" s="6">
        <v>357494911584534</v>
      </c>
      <c r="J50" s="2" t="s">
        <v>1247</v>
      </c>
      <c r="K50" s="2" t="s">
        <v>108</v>
      </c>
      <c r="L50" s="2" t="s">
        <v>108</v>
      </c>
      <c r="M50" s="2" t="s">
        <v>108</v>
      </c>
      <c r="N50" s="2" t="s">
        <v>108</v>
      </c>
      <c r="O50" s="3">
        <v>45329</v>
      </c>
      <c r="P50" s="3">
        <v>45694</v>
      </c>
      <c r="Q50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6 meses</v>
      </c>
      <c r="R50" s="2" t="s">
        <v>1166</v>
      </c>
      <c r="S50" s="2" t="s">
        <v>1167</v>
      </c>
      <c r="T50" s="2" t="s">
        <v>1176</v>
      </c>
      <c r="U50" s="2" t="s">
        <v>1176</v>
      </c>
    </row>
    <row r="51" spans="1:21">
      <c r="A51" s="2">
        <v>48</v>
      </c>
      <c r="B51" s="2" t="s">
        <v>370</v>
      </c>
      <c r="C51" s="2" t="s">
        <v>108</v>
      </c>
      <c r="D51" s="2" t="s">
        <v>14</v>
      </c>
      <c r="E51" s="5" t="s">
        <v>36</v>
      </c>
      <c r="F51" s="2">
        <v>970737807</v>
      </c>
      <c r="G51" s="2" t="s">
        <v>1181</v>
      </c>
      <c r="H51" s="2" t="s">
        <v>1248</v>
      </c>
      <c r="I51" s="6">
        <v>354660205166310</v>
      </c>
      <c r="J51" s="2" t="s">
        <v>1249</v>
      </c>
      <c r="K51" s="2" t="s">
        <v>108</v>
      </c>
      <c r="L51" s="2" t="s">
        <v>108</v>
      </c>
      <c r="M51" s="2" t="s">
        <v>108</v>
      </c>
      <c r="N51" s="2" t="s">
        <v>108</v>
      </c>
      <c r="O51" s="3">
        <v>45240</v>
      </c>
      <c r="P51" s="3">
        <v>45876</v>
      </c>
      <c r="Q51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9 meses</v>
      </c>
      <c r="R51" s="2" t="s">
        <v>1166</v>
      </c>
      <c r="S51" s="2" t="s">
        <v>1167</v>
      </c>
      <c r="T51" s="2" t="s">
        <v>1168</v>
      </c>
      <c r="U51" s="2" t="s">
        <v>1168</v>
      </c>
    </row>
    <row r="52" spans="1:21">
      <c r="A52" s="2">
        <v>49</v>
      </c>
      <c r="B52" s="2" t="s">
        <v>384</v>
      </c>
      <c r="C52" s="2" t="s">
        <v>108</v>
      </c>
      <c r="D52" s="2" t="s">
        <v>14</v>
      </c>
      <c r="E52" s="5" t="s">
        <v>27</v>
      </c>
      <c r="F52" s="2">
        <v>972958525</v>
      </c>
      <c r="G52" s="2" t="s">
        <v>1160</v>
      </c>
      <c r="H52" s="2" t="s">
        <v>1195</v>
      </c>
      <c r="I52" s="6">
        <v>356241324974443</v>
      </c>
      <c r="J52" s="2" t="s">
        <v>1250</v>
      </c>
      <c r="K52" s="2" t="s">
        <v>108</v>
      </c>
      <c r="L52" s="2" t="s">
        <v>108</v>
      </c>
      <c r="M52" s="2" t="s">
        <v>108</v>
      </c>
      <c r="N52" s="2" t="s">
        <v>108</v>
      </c>
      <c r="O52" s="3">
        <v>45301</v>
      </c>
      <c r="P52" s="3">
        <v>45322</v>
      </c>
      <c r="Q52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7 meses</v>
      </c>
      <c r="R52" s="2" t="s">
        <v>1166</v>
      </c>
      <c r="S52" s="2" t="s">
        <v>1167</v>
      </c>
      <c r="T52" s="2" t="s">
        <v>1176</v>
      </c>
      <c r="U52" s="2" t="s">
        <v>1176</v>
      </c>
    </row>
    <row r="53" spans="1:21">
      <c r="A53" s="2">
        <v>50</v>
      </c>
      <c r="B53" s="2" t="s">
        <v>1251</v>
      </c>
      <c r="C53" s="2" t="s">
        <v>108</v>
      </c>
      <c r="D53" s="2" t="s">
        <v>14</v>
      </c>
      <c r="E53" s="5" t="s">
        <v>27</v>
      </c>
      <c r="F53" s="2">
        <v>913738662</v>
      </c>
      <c r="G53" s="2" t="s">
        <v>1160</v>
      </c>
      <c r="H53" s="2" t="s">
        <v>1252</v>
      </c>
      <c r="I53" s="6">
        <v>351066360917336</v>
      </c>
      <c r="J53" s="2" t="s">
        <v>1253</v>
      </c>
      <c r="K53" s="2" t="s">
        <v>108</v>
      </c>
      <c r="L53" s="2" t="s">
        <v>108</v>
      </c>
      <c r="M53" s="2" t="s">
        <v>108</v>
      </c>
      <c r="N53" s="2" t="s">
        <v>108</v>
      </c>
      <c r="O53" s="3">
        <v>45015</v>
      </c>
      <c r="P53" s="3">
        <v>45898</v>
      </c>
      <c r="Q53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4 meses</v>
      </c>
      <c r="R53" s="2" t="s">
        <v>1166</v>
      </c>
      <c r="S53" s="2" t="s">
        <v>1167</v>
      </c>
      <c r="T53" s="2" t="s">
        <v>1176</v>
      </c>
      <c r="U53" s="2" t="s">
        <v>1176</v>
      </c>
    </row>
    <row r="54" spans="1:21">
      <c r="A54" s="2">
        <v>52</v>
      </c>
      <c r="B54" s="2" t="s">
        <v>392</v>
      </c>
      <c r="C54" s="2" t="s">
        <v>108</v>
      </c>
      <c r="D54" s="2" t="s">
        <v>14</v>
      </c>
      <c r="E54" s="5" t="s">
        <v>22</v>
      </c>
      <c r="F54" s="2">
        <v>942122432</v>
      </c>
      <c r="G54" s="2" t="s">
        <v>1160</v>
      </c>
      <c r="H54" s="2" t="s">
        <v>1210</v>
      </c>
      <c r="I54" s="6">
        <v>358055380448466</v>
      </c>
      <c r="J54" s="2" t="s">
        <v>1254</v>
      </c>
      <c r="K54" s="2" t="s">
        <v>108</v>
      </c>
      <c r="L54" s="2" t="s">
        <v>108</v>
      </c>
      <c r="M54" s="2" t="s">
        <v>108</v>
      </c>
      <c r="N54" s="2" t="s">
        <v>108</v>
      </c>
      <c r="O54" s="3">
        <v>45043</v>
      </c>
      <c r="P54" s="3">
        <v>45684</v>
      </c>
      <c r="Q54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3 meses</v>
      </c>
      <c r="R54" s="2" t="s">
        <v>1166</v>
      </c>
      <c r="S54" s="2" t="s">
        <v>1167</v>
      </c>
      <c r="T54" s="2" t="s">
        <v>1176</v>
      </c>
      <c r="U54" s="2" t="s">
        <v>1176</v>
      </c>
    </row>
    <row r="55" spans="1:21">
      <c r="A55" s="2">
        <v>137</v>
      </c>
      <c r="B55" s="2" t="s">
        <v>396</v>
      </c>
      <c r="C55" s="2" t="s">
        <v>108</v>
      </c>
      <c r="D55" s="2" t="s">
        <v>14</v>
      </c>
      <c r="E55" s="5" t="s">
        <v>42</v>
      </c>
      <c r="F55" s="2">
        <v>977839114</v>
      </c>
      <c r="G55" s="2" t="s">
        <v>1160</v>
      </c>
      <c r="H55" s="2" t="s">
        <v>1193</v>
      </c>
      <c r="I55" s="6">
        <v>350182153316478</v>
      </c>
      <c r="J55" s="2" t="s">
        <v>1255</v>
      </c>
      <c r="K55" s="2" t="s">
        <v>108</v>
      </c>
      <c r="L55" s="2" t="s">
        <v>108</v>
      </c>
      <c r="M55" s="2" t="s">
        <v>108</v>
      </c>
      <c r="N55" s="2" t="s">
        <v>108</v>
      </c>
      <c r="O55" s="3">
        <v>46120</v>
      </c>
      <c r="P55" s="2" t="s">
        <v>108</v>
      </c>
      <c r="Q55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0 años y 4 meses</v>
      </c>
      <c r="R55" s="2" t="s">
        <v>108</v>
      </c>
      <c r="S55" s="2" t="s">
        <v>108</v>
      </c>
      <c r="T55" s="2" t="s">
        <v>1168</v>
      </c>
      <c r="U55" s="2" t="s">
        <v>1168</v>
      </c>
    </row>
    <row r="56" spans="1:21">
      <c r="A56" s="2">
        <v>54</v>
      </c>
      <c r="B56" s="2" t="s">
        <v>401</v>
      </c>
      <c r="C56" s="2" t="s">
        <v>108</v>
      </c>
      <c r="D56" s="2" t="s">
        <v>14</v>
      </c>
      <c r="E56" s="5" t="s">
        <v>27</v>
      </c>
      <c r="F56" s="2">
        <v>981570226</v>
      </c>
      <c r="G56" s="2" t="s">
        <v>1160</v>
      </c>
      <c r="H56" s="2" t="s">
        <v>1191</v>
      </c>
      <c r="I56" s="6">
        <v>357269400472882</v>
      </c>
      <c r="J56" s="2" t="s">
        <v>1256</v>
      </c>
      <c r="K56" s="2" t="s">
        <v>108</v>
      </c>
      <c r="L56" s="2" t="s">
        <v>108</v>
      </c>
      <c r="M56" s="2" t="s">
        <v>108</v>
      </c>
      <c r="N56" s="2" t="s">
        <v>108</v>
      </c>
      <c r="O56" s="3">
        <v>45911</v>
      </c>
      <c r="P56" s="3">
        <v>45947</v>
      </c>
      <c r="Q56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0 años y 11 meses</v>
      </c>
      <c r="R56" s="2" t="s">
        <v>1166</v>
      </c>
      <c r="S56" s="2" t="s">
        <v>1167</v>
      </c>
      <c r="T56" s="2" t="s">
        <v>1176</v>
      </c>
      <c r="U56" s="2" t="s">
        <v>1176</v>
      </c>
    </row>
    <row r="57" spans="1:21">
      <c r="A57" s="2">
        <v>55</v>
      </c>
      <c r="B57" s="2" t="s">
        <v>152</v>
      </c>
      <c r="C57" s="2" t="s">
        <v>108</v>
      </c>
      <c r="D57" s="2" t="s">
        <v>14</v>
      </c>
      <c r="E57" s="5" t="s">
        <v>22</v>
      </c>
      <c r="F57" s="2">
        <v>955015872</v>
      </c>
      <c r="G57" s="2" t="s">
        <v>1160</v>
      </c>
      <c r="H57" s="2" t="s">
        <v>1169</v>
      </c>
      <c r="I57" s="6">
        <v>357494912737065</v>
      </c>
      <c r="J57" s="2" t="s">
        <v>1257</v>
      </c>
      <c r="K57" s="2" t="s">
        <v>108</v>
      </c>
      <c r="L57" s="2" t="s">
        <v>108</v>
      </c>
      <c r="M57" s="2" t="s">
        <v>108</v>
      </c>
      <c r="N57" s="2" t="s">
        <v>108</v>
      </c>
      <c r="O57" s="3">
        <v>45043</v>
      </c>
      <c r="P57" s="3">
        <v>45966</v>
      </c>
      <c r="Q57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3 meses</v>
      </c>
      <c r="R57" s="2" t="s">
        <v>1166</v>
      </c>
      <c r="S57" s="2" t="s">
        <v>1167</v>
      </c>
      <c r="T57" s="2" t="s">
        <v>1168</v>
      </c>
      <c r="U57" s="2" t="s">
        <v>1168</v>
      </c>
    </row>
    <row r="58" spans="1:21">
      <c r="A58" s="2">
        <v>56</v>
      </c>
      <c r="B58" s="2" t="s">
        <v>409</v>
      </c>
      <c r="C58" s="2" t="s">
        <v>108</v>
      </c>
      <c r="D58" s="2" t="s">
        <v>14</v>
      </c>
      <c r="E58" s="5" t="s">
        <v>29</v>
      </c>
      <c r="F58" s="2">
        <v>960740299</v>
      </c>
      <c r="G58" s="2" t="s">
        <v>1160</v>
      </c>
      <c r="H58" s="2" t="s">
        <v>1179</v>
      </c>
      <c r="I58" s="6">
        <v>351456832266851</v>
      </c>
      <c r="J58" s="2" t="s">
        <v>1258</v>
      </c>
      <c r="K58" s="2" t="s">
        <v>108</v>
      </c>
      <c r="L58" s="2" t="s">
        <v>108</v>
      </c>
      <c r="M58" s="2" t="s">
        <v>108</v>
      </c>
      <c r="N58" s="2" t="s">
        <v>108</v>
      </c>
      <c r="O58" s="3">
        <v>45630</v>
      </c>
      <c r="P58" s="3">
        <v>45639</v>
      </c>
      <c r="Q58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8 meses</v>
      </c>
      <c r="R58" s="2" t="s">
        <v>1166</v>
      </c>
      <c r="S58" s="2" t="s">
        <v>1167</v>
      </c>
      <c r="T58" s="2" t="s">
        <v>1176</v>
      </c>
      <c r="U58" s="2" t="s">
        <v>1176</v>
      </c>
    </row>
    <row r="59" spans="1:21">
      <c r="A59" s="2">
        <v>57</v>
      </c>
      <c r="B59" s="2" t="s">
        <v>414</v>
      </c>
      <c r="C59" s="2" t="s">
        <v>108</v>
      </c>
      <c r="D59" s="2" t="s">
        <v>14</v>
      </c>
      <c r="E59" s="5" t="s">
        <v>27</v>
      </c>
      <c r="F59" s="2">
        <v>997747832</v>
      </c>
      <c r="G59" s="2" t="s">
        <v>1160</v>
      </c>
      <c r="H59" s="2" t="s">
        <v>1179</v>
      </c>
      <c r="I59" s="6">
        <v>351456831996029</v>
      </c>
      <c r="J59" s="2" t="s">
        <v>1259</v>
      </c>
      <c r="K59" s="2" t="s">
        <v>108</v>
      </c>
      <c r="L59" s="2" t="s">
        <v>108</v>
      </c>
      <c r="M59" s="2" t="s">
        <v>108</v>
      </c>
      <c r="N59" s="2" t="s">
        <v>108</v>
      </c>
      <c r="O59" s="3">
        <v>45574</v>
      </c>
      <c r="P59" s="3">
        <v>45586</v>
      </c>
      <c r="Q59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10 meses</v>
      </c>
      <c r="R59" s="2" t="s">
        <v>1166</v>
      </c>
      <c r="S59" s="2" t="s">
        <v>1167</v>
      </c>
      <c r="T59" s="2" t="s">
        <v>1176</v>
      </c>
      <c r="U59" s="2" t="s">
        <v>1176</v>
      </c>
    </row>
    <row r="60" spans="1:21">
      <c r="A60" s="2">
        <v>58</v>
      </c>
      <c r="B60" s="2" t="s">
        <v>418</v>
      </c>
      <c r="C60" s="2" t="s">
        <v>108</v>
      </c>
      <c r="D60" s="2" t="s">
        <v>14</v>
      </c>
      <c r="E60" s="5" t="s">
        <v>27</v>
      </c>
      <c r="F60" s="2">
        <v>920113818</v>
      </c>
      <c r="G60" s="2" t="s">
        <v>1160</v>
      </c>
      <c r="H60" s="2" t="s">
        <v>1191</v>
      </c>
      <c r="I60" s="6">
        <v>357269400466181</v>
      </c>
      <c r="J60" s="2" t="s">
        <v>1260</v>
      </c>
      <c r="K60" s="2" t="s">
        <v>108</v>
      </c>
      <c r="L60" s="2" t="s">
        <v>108</v>
      </c>
      <c r="M60" s="2" t="s">
        <v>108</v>
      </c>
      <c r="N60" s="2" t="s">
        <v>108</v>
      </c>
      <c r="O60" s="3">
        <v>45911</v>
      </c>
      <c r="P60" s="3">
        <v>45951</v>
      </c>
      <c r="Q60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0 años y 11 meses</v>
      </c>
      <c r="R60" s="2" t="s">
        <v>1166</v>
      </c>
      <c r="S60" s="2" t="s">
        <v>1167</v>
      </c>
      <c r="T60" s="2" t="s">
        <v>1176</v>
      </c>
      <c r="U60" s="2" t="s">
        <v>1176</v>
      </c>
    </row>
    <row r="61" spans="1:21">
      <c r="A61" s="2">
        <v>59</v>
      </c>
      <c r="B61" s="2" t="s">
        <v>422</v>
      </c>
      <c r="C61" s="2" t="s">
        <v>108</v>
      </c>
      <c r="D61" s="2" t="s">
        <v>14</v>
      </c>
      <c r="E61" s="5" t="s">
        <v>27</v>
      </c>
      <c r="F61" s="2">
        <v>970591520</v>
      </c>
      <c r="G61" s="2" t="s">
        <v>1160</v>
      </c>
      <c r="H61" s="2" t="s">
        <v>1195</v>
      </c>
      <c r="I61" s="6">
        <v>356241324972090</v>
      </c>
      <c r="J61" s="2" t="s">
        <v>1261</v>
      </c>
      <c r="K61" s="2" t="s">
        <v>108</v>
      </c>
      <c r="L61" s="2" t="s">
        <v>108</v>
      </c>
      <c r="M61" s="2" t="s">
        <v>108</v>
      </c>
      <c r="N61" s="2" t="s">
        <v>108</v>
      </c>
      <c r="O61" s="3">
        <v>45301</v>
      </c>
      <c r="P61" s="3">
        <v>45313</v>
      </c>
      <c r="Q61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7 meses</v>
      </c>
      <c r="R61" s="2" t="s">
        <v>1166</v>
      </c>
      <c r="S61" s="2" t="s">
        <v>1167</v>
      </c>
      <c r="T61" s="2" t="s">
        <v>1176</v>
      </c>
      <c r="U61" s="2" t="s">
        <v>1176</v>
      </c>
    </row>
    <row r="62" spans="1:21">
      <c r="A62" s="2">
        <v>60</v>
      </c>
      <c r="B62" s="2" t="s">
        <v>426</v>
      </c>
      <c r="C62" s="2" t="s">
        <v>108</v>
      </c>
      <c r="D62" s="2" t="s">
        <v>14</v>
      </c>
      <c r="E62" s="5" t="s">
        <v>27</v>
      </c>
      <c r="F62" s="2">
        <v>950556012</v>
      </c>
      <c r="G62" s="2" t="s">
        <v>1160</v>
      </c>
      <c r="H62" s="2" t="s">
        <v>1210</v>
      </c>
      <c r="I62" s="6">
        <v>358055380935314</v>
      </c>
      <c r="J62" s="2" t="s">
        <v>1262</v>
      </c>
      <c r="K62" s="2" t="s">
        <v>108</v>
      </c>
      <c r="L62" s="2" t="s">
        <v>108</v>
      </c>
      <c r="M62" s="2" t="s">
        <v>108</v>
      </c>
      <c r="N62" s="2" t="s">
        <v>108</v>
      </c>
      <c r="O62" s="3">
        <v>44946</v>
      </c>
      <c r="P62" s="3">
        <v>45931</v>
      </c>
      <c r="Q62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6 meses</v>
      </c>
      <c r="R62" s="2" t="s">
        <v>1166</v>
      </c>
      <c r="S62" s="2" t="s">
        <v>1167</v>
      </c>
      <c r="T62" s="2" t="s">
        <v>1176</v>
      </c>
      <c r="U62" s="2" t="s">
        <v>1176</v>
      </c>
    </row>
    <row r="63" spans="1:21">
      <c r="A63" s="2">
        <v>61</v>
      </c>
      <c r="B63" s="2" t="s">
        <v>430</v>
      </c>
      <c r="C63" s="2" t="s">
        <v>108</v>
      </c>
      <c r="D63" s="2" t="s">
        <v>14</v>
      </c>
      <c r="E63" s="5" t="s">
        <v>27</v>
      </c>
      <c r="F63" s="2">
        <v>996896401</v>
      </c>
      <c r="G63" s="2" t="s">
        <v>1160</v>
      </c>
      <c r="H63" s="2" t="s">
        <v>1252</v>
      </c>
      <c r="I63" s="6">
        <v>358785932280153</v>
      </c>
      <c r="J63" s="2" t="s">
        <v>1253</v>
      </c>
      <c r="K63" s="2" t="s">
        <v>108</v>
      </c>
      <c r="L63" s="2" t="s">
        <v>108</v>
      </c>
      <c r="M63" s="2" t="s">
        <v>108</v>
      </c>
      <c r="N63" s="2" t="s">
        <v>108</v>
      </c>
      <c r="O63" s="3">
        <v>45015</v>
      </c>
      <c r="P63" s="3">
        <v>45419</v>
      </c>
      <c r="Q63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4 meses</v>
      </c>
      <c r="R63" s="2" t="s">
        <v>1166</v>
      </c>
      <c r="S63" s="2" t="s">
        <v>1167</v>
      </c>
      <c r="T63" s="2" t="s">
        <v>1176</v>
      </c>
      <c r="U63" s="2" t="s">
        <v>1176</v>
      </c>
    </row>
    <row r="64" spans="1:21">
      <c r="A64" s="2">
        <v>62</v>
      </c>
      <c r="B64" s="2" t="s">
        <v>434</v>
      </c>
      <c r="C64" s="2" t="s">
        <v>108</v>
      </c>
      <c r="D64" s="2" t="s">
        <v>14</v>
      </c>
      <c r="E64" s="5" t="s">
        <v>23</v>
      </c>
      <c r="F64" s="2">
        <v>992674712</v>
      </c>
      <c r="G64" s="2" t="s">
        <v>1160</v>
      </c>
      <c r="H64" s="2" t="s">
        <v>1210</v>
      </c>
      <c r="I64" s="6">
        <v>350640425548111</v>
      </c>
      <c r="J64" s="2" t="s">
        <v>1263</v>
      </c>
      <c r="K64" s="2" t="s">
        <v>1264</v>
      </c>
      <c r="L64" s="2" t="s">
        <v>108</v>
      </c>
      <c r="M64" s="2" t="s">
        <v>108</v>
      </c>
      <c r="N64" s="2" t="s">
        <v>108</v>
      </c>
      <c r="O64" s="3">
        <v>45043</v>
      </c>
      <c r="P64" s="3">
        <v>45910</v>
      </c>
      <c r="Q64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3 meses</v>
      </c>
      <c r="R64" s="2" t="s">
        <v>1166</v>
      </c>
      <c r="S64" s="2" t="s">
        <v>1167</v>
      </c>
      <c r="T64" s="2" t="s">
        <v>1168</v>
      </c>
      <c r="U64" s="2" t="s">
        <v>1168</v>
      </c>
    </row>
    <row r="65" spans="1:21">
      <c r="A65" s="2">
        <v>63</v>
      </c>
      <c r="B65" s="2" t="s">
        <v>440</v>
      </c>
      <c r="C65" s="2" t="s">
        <v>108</v>
      </c>
      <c r="D65" s="2" t="s">
        <v>14</v>
      </c>
      <c r="E65" s="5" t="s">
        <v>39</v>
      </c>
      <c r="F65" s="2">
        <v>945195811</v>
      </c>
      <c r="G65" s="2" t="s">
        <v>1160</v>
      </c>
      <c r="H65" s="2" t="s">
        <v>1219</v>
      </c>
      <c r="I65" s="6">
        <v>356263632027268</v>
      </c>
      <c r="J65" s="2" t="s">
        <v>1265</v>
      </c>
      <c r="K65" s="2" t="s">
        <v>108</v>
      </c>
      <c r="L65" s="2" t="s">
        <v>108</v>
      </c>
      <c r="M65" s="2" t="s">
        <v>108</v>
      </c>
      <c r="N65" s="2" t="s">
        <v>108</v>
      </c>
      <c r="O65" s="3">
        <v>45687</v>
      </c>
      <c r="P65" s="3">
        <v>45688</v>
      </c>
      <c r="Q65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6 meses</v>
      </c>
      <c r="R65" s="2" t="s">
        <v>1184</v>
      </c>
      <c r="S65" s="2" t="s">
        <v>1266</v>
      </c>
      <c r="T65" s="2" t="s">
        <v>1168</v>
      </c>
      <c r="U65" s="2" t="s">
        <v>1168</v>
      </c>
    </row>
    <row r="66" spans="1:21">
      <c r="A66" s="2">
        <v>64</v>
      </c>
      <c r="B66" s="2" t="s">
        <v>445</v>
      </c>
      <c r="C66" s="2" t="s">
        <v>108</v>
      </c>
      <c r="D66" s="2" t="s">
        <v>14</v>
      </c>
      <c r="E66" s="5" t="s">
        <v>27</v>
      </c>
      <c r="F66" s="2">
        <v>969736235</v>
      </c>
      <c r="G66" s="2" t="s">
        <v>1160</v>
      </c>
      <c r="H66" s="2" t="s">
        <v>1161</v>
      </c>
      <c r="I66" s="6">
        <v>358785931894855</v>
      </c>
      <c r="J66" s="2" t="s">
        <v>1267</v>
      </c>
      <c r="K66" s="2" t="s">
        <v>108</v>
      </c>
      <c r="L66" s="2" t="s">
        <v>108</v>
      </c>
      <c r="M66" s="2" t="s">
        <v>108</v>
      </c>
      <c r="N66" s="2" t="s">
        <v>108</v>
      </c>
      <c r="O66" s="3">
        <v>44946</v>
      </c>
      <c r="P66" s="3">
        <v>45806</v>
      </c>
      <c r="Q66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6 meses</v>
      </c>
      <c r="R66" s="2" t="s">
        <v>1166</v>
      </c>
      <c r="S66" s="2" t="s">
        <v>1167</v>
      </c>
      <c r="T66" s="2" t="s">
        <v>1176</v>
      </c>
      <c r="U66" s="2" t="s">
        <v>1176</v>
      </c>
    </row>
    <row r="67" spans="1:21" ht="29.25">
      <c r="A67" s="2">
        <v>65</v>
      </c>
      <c r="B67" s="2" t="s">
        <v>449</v>
      </c>
      <c r="C67" s="2" t="s">
        <v>108</v>
      </c>
      <c r="D67" s="2" t="s">
        <v>14</v>
      </c>
      <c r="E67" s="5" t="s">
        <v>25</v>
      </c>
      <c r="F67" s="2">
        <v>965722388</v>
      </c>
      <c r="G67" s="2" t="s">
        <v>1160</v>
      </c>
      <c r="H67" s="2" t="s">
        <v>1268</v>
      </c>
      <c r="I67" s="6">
        <v>351823704541655</v>
      </c>
      <c r="J67" s="2" t="s">
        <v>1269</v>
      </c>
      <c r="K67" s="2" t="s">
        <v>108</v>
      </c>
      <c r="L67" s="2" t="s">
        <v>108</v>
      </c>
      <c r="M67" s="2" t="s">
        <v>108</v>
      </c>
      <c r="N67" s="2" t="s">
        <v>108</v>
      </c>
      <c r="O67" s="3">
        <v>45747</v>
      </c>
      <c r="P67" s="3">
        <v>46009</v>
      </c>
      <c r="Q67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4 meses</v>
      </c>
      <c r="R67" s="2" t="s">
        <v>1166</v>
      </c>
      <c r="S67" s="2" t="s">
        <v>1188</v>
      </c>
      <c r="T67" s="2" t="s">
        <v>1168</v>
      </c>
      <c r="U67" s="2" t="s">
        <v>1168</v>
      </c>
    </row>
    <row r="68" spans="1:21">
      <c r="A68" s="2">
        <v>66</v>
      </c>
      <c r="B68" s="2" t="s">
        <v>454</v>
      </c>
      <c r="C68" s="2" t="s">
        <v>108</v>
      </c>
      <c r="D68" s="2" t="s">
        <v>14</v>
      </c>
      <c r="E68" s="5" t="s">
        <v>27</v>
      </c>
      <c r="F68" s="2">
        <v>934949476</v>
      </c>
      <c r="G68" s="2" t="s">
        <v>1160</v>
      </c>
      <c r="H68" s="2" t="s">
        <v>1252</v>
      </c>
      <c r="I68" s="6">
        <v>351066360477802</v>
      </c>
      <c r="J68" s="2" t="s">
        <v>1270</v>
      </c>
      <c r="K68" s="2" t="s">
        <v>108</v>
      </c>
      <c r="L68" s="2" t="s">
        <v>108</v>
      </c>
      <c r="M68" s="2" t="s">
        <v>108</v>
      </c>
      <c r="N68" s="2" t="s">
        <v>108</v>
      </c>
      <c r="O68" s="3">
        <v>45015</v>
      </c>
      <c r="P68" s="3">
        <v>45043</v>
      </c>
      <c r="Q68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4 meses</v>
      </c>
      <c r="R68" s="2" t="s">
        <v>1166</v>
      </c>
      <c r="S68" s="2" t="s">
        <v>1167</v>
      </c>
      <c r="T68" s="2" t="s">
        <v>1176</v>
      </c>
      <c r="U68" s="2" t="s">
        <v>1176</v>
      </c>
    </row>
    <row r="69" spans="1:21">
      <c r="A69" s="2">
        <v>67</v>
      </c>
      <c r="B69" s="2" t="s">
        <v>458</v>
      </c>
      <c r="C69" s="2" t="s">
        <v>108</v>
      </c>
      <c r="D69" s="2" t="s">
        <v>14</v>
      </c>
      <c r="E69" s="5" t="s">
        <v>27</v>
      </c>
      <c r="F69" s="2">
        <v>913733596</v>
      </c>
      <c r="G69" s="2" t="s">
        <v>1160</v>
      </c>
      <c r="H69" s="2" t="s">
        <v>1169</v>
      </c>
      <c r="I69" s="6">
        <v>357494912756636</v>
      </c>
      <c r="J69" s="2" t="s">
        <v>1271</v>
      </c>
      <c r="K69" s="2" t="s">
        <v>1163</v>
      </c>
      <c r="L69" s="2" t="s">
        <v>108</v>
      </c>
      <c r="M69" s="2" t="s">
        <v>108</v>
      </c>
      <c r="N69" s="2" t="s">
        <v>108</v>
      </c>
      <c r="O69" s="3">
        <v>45329</v>
      </c>
      <c r="P69" s="3">
        <v>45748</v>
      </c>
      <c r="Q69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6 meses</v>
      </c>
      <c r="R69" s="2" t="s">
        <v>1166</v>
      </c>
      <c r="S69" s="2" t="s">
        <v>1167</v>
      </c>
      <c r="T69" s="2" t="s">
        <v>1176</v>
      </c>
      <c r="U69" s="2" t="s">
        <v>1176</v>
      </c>
    </row>
    <row r="70" spans="1:21">
      <c r="A70" s="2">
        <v>68</v>
      </c>
      <c r="B70" s="2" t="s">
        <v>462</v>
      </c>
      <c r="C70" s="2" t="s">
        <v>108</v>
      </c>
      <c r="D70" s="2" t="s">
        <v>14</v>
      </c>
      <c r="E70" s="5" t="s">
        <v>27</v>
      </c>
      <c r="F70" s="2">
        <v>970707025</v>
      </c>
      <c r="G70" s="2" t="s">
        <v>1160</v>
      </c>
      <c r="H70" s="2" t="s">
        <v>1161</v>
      </c>
      <c r="I70" s="6">
        <v>358785932293487</v>
      </c>
      <c r="J70" s="2" t="s">
        <v>1272</v>
      </c>
      <c r="K70" s="2" t="s">
        <v>108</v>
      </c>
      <c r="L70" s="2" t="s">
        <v>108</v>
      </c>
      <c r="M70" s="2" t="s">
        <v>108</v>
      </c>
      <c r="N70" s="2" t="s">
        <v>108</v>
      </c>
      <c r="O70" s="3">
        <v>44946</v>
      </c>
      <c r="P70" s="3">
        <v>45751</v>
      </c>
      <c r="Q70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6 meses</v>
      </c>
      <c r="R70" s="2" t="s">
        <v>1166</v>
      </c>
      <c r="S70" s="2" t="s">
        <v>1167</v>
      </c>
      <c r="T70" s="2" t="s">
        <v>1176</v>
      </c>
      <c r="U70" s="2" t="s">
        <v>1176</v>
      </c>
    </row>
    <row r="71" spans="1:21">
      <c r="A71" s="2">
        <v>69</v>
      </c>
      <c r="B71" s="2" t="s">
        <v>466</v>
      </c>
      <c r="C71" s="2" t="s">
        <v>108</v>
      </c>
      <c r="D71" s="2" t="s">
        <v>14</v>
      </c>
      <c r="E71" s="5" t="s">
        <v>30</v>
      </c>
      <c r="F71" s="2">
        <v>970608088</v>
      </c>
      <c r="G71" s="2" t="s">
        <v>1160</v>
      </c>
      <c r="H71" s="2" t="s">
        <v>1191</v>
      </c>
      <c r="I71" s="6">
        <v>357269403146095</v>
      </c>
      <c r="J71" s="2" t="s">
        <v>1273</v>
      </c>
      <c r="K71" s="2" t="s">
        <v>108</v>
      </c>
      <c r="L71" s="2" t="s">
        <v>108</v>
      </c>
      <c r="M71" s="2" t="s">
        <v>108</v>
      </c>
      <c r="N71" s="2" t="s">
        <v>108</v>
      </c>
      <c r="O71" s="3">
        <v>45853</v>
      </c>
      <c r="P71" s="3">
        <v>45937</v>
      </c>
      <c r="Q71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0 meses</v>
      </c>
      <c r="R71" s="2" t="s">
        <v>1166</v>
      </c>
      <c r="S71" s="2" t="s">
        <v>1167</v>
      </c>
      <c r="T71" s="2" t="s">
        <v>1168</v>
      </c>
      <c r="U71" s="2" t="s">
        <v>1168</v>
      </c>
    </row>
    <row r="72" spans="1:21">
      <c r="A72" s="2">
        <v>70</v>
      </c>
      <c r="B72" s="2" t="s">
        <v>476</v>
      </c>
      <c r="C72" s="2" t="s">
        <v>108</v>
      </c>
      <c r="D72" s="2" t="s">
        <v>14</v>
      </c>
      <c r="E72" s="5" t="s">
        <v>27</v>
      </c>
      <c r="F72" s="2">
        <v>943442299</v>
      </c>
      <c r="G72" s="2" t="s">
        <v>1160</v>
      </c>
      <c r="H72" s="2" t="s">
        <v>1195</v>
      </c>
      <c r="I72" s="6">
        <v>356241324979053</v>
      </c>
      <c r="J72" s="2" t="s">
        <v>1274</v>
      </c>
      <c r="K72" s="2" t="s">
        <v>108</v>
      </c>
      <c r="L72" s="2" t="s">
        <v>108</v>
      </c>
      <c r="M72" s="2" t="s">
        <v>108</v>
      </c>
      <c r="N72" s="2" t="s">
        <v>108</v>
      </c>
      <c r="O72" s="3">
        <v>45301</v>
      </c>
      <c r="P72" s="3">
        <v>45330</v>
      </c>
      <c r="Q72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7 meses</v>
      </c>
      <c r="R72" s="2" t="s">
        <v>1166</v>
      </c>
      <c r="S72" s="2" t="s">
        <v>1167</v>
      </c>
      <c r="T72" s="2" t="s">
        <v>1176</v>
      </c>
      <c r="U72" s="2" t="s">
        <v>1176</v>
      </c>
    </row>
    <row r="73" spans="1:21">
      <c r="A73" s="2">
        <v>71</v>
      </c>
      <c r="B73" s="2" t="s">
        <v>480</v>
      </c>
      <c r="C73" s="2" t="s">
        <v>108</v>
      </c>
      <c r="D73" s="2" t="s">
        <v>14</v>
      </c>
      <c r="E73" s="5" t="s">
        <v>21</v>
      </c>
      <c r="F73" s="2">
        <v>965722402</v>
      </c>
      <c r="G73" s="2" t="s">
        <v>1160</v>
      </c>
      <c r="H73" s="2" t="s">
        <v>1161</v>
      </c>
      <c r="I73" s="6">
        <v>358785932283520</v>
      </c>
      <c r="J73" s="2" t="s">
        <v>1275</v>
      </c>
      <c r="K73" s="2" t="s">
        <v>108</v>
      </c>
      <c r="L73" s="2" t="s">
        <v>108</v>
      </c>
      <c r="M73" s="2" t="s">
        <v>108</v>
      </c>
      <c r="N73" s="2" t="s">
        <v>108</v>
      </c>
      <c r="O73" s="3">
        <v>45338</v>
      </c>
      <c r="P73" s="3">
        <v>45882</v>
      </c>
      <c r="Q73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5 meses</v>
      </c>
      <c r="R73" s="2" t="s">
        <v>1166</v>
      </c>
      <c r="S73" s="2" t="s">
        <v>1167</v>
      </c>
      <c r="T73" s="2" t="s">
        <v>1168</v>
      </c>
      <c r="U73" s="2" t="s">
        <v>1168</v>
      </c>
    </row>
    <row r="74" spans="1:21">
      <c r="A74" s="2">
        <v>72</v>
      </c>
      <c r="B74" s="2" t="s">
        <v>485</v>
      </c>
      <c r="C74" s="2" t="s">
        <v>108</v>
      </c>
      <c r="D74" s="2" t="s">
        <v>14</v>
      </c>
      <c r="E74" s="5" t="s">
        <v>27</v>
      </c>
      <c r="F74" s="2">
        <v>984541012</v>
      </c>
      <c r="G74" s="2" t="s">
        <v>1160</v>
      </c>
      <c r="H74" s="2" t="s">
        <v>1195</v>
      </c>
      <c r="I74" s="6">
        <v>356241324969617</v>
      </c>
      <c r="J74" s="2" t="s">
        <v>1276</v>
      </c>
      <c r="K74" s="2" t="s">
        <v>108</v>
      </c>
      <c r="L74" s="2" t="s">
        <v>108</v>
      </c>
      <c r="M74" s="2" t="s">
        <v>108</v>
      </c>
      <c r="N74" s="2" t="s">
        <v>108</v>
      </c>
      <c r="O74" s="3">
        <v>45301</v>
      </c>
      <c r="P74" s="3">
        <v>45324</v>
      </c>
      <c r="Q74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7 meses</v>
      </c>
      <c r="R74" s="2" t="s">
        <v>1166</v>
      </c>
      <c r="S74" s="2" t="s">
        <v>1167</v>
      </c>
      <c r="T74" s="2" t="s">
        <v>1176</v>
      </c>
      <c r="U74" s="2" t="s">
        <v>1176</v>
      </c>
    </row>
    <row r="75" spans="1:21" ht="29.25">
      <c r="A75" s="2">
        <v>73</v>
      </c>
      <c r="B75" s="2" t="s">
        <v>489</v>
      </c>
      <c r="C75" s="2" t="s">
        <v>108</v>
      </c>
      <c r="D75" s="2" t="s">
        <v>14</v>
      </c>
      <c r="E75" s="5" t="s">
        <v>25</v>
      </c>
      <c r="F75" s="2">
        <v>970568046</v>
      </c>
      <c r="G75" s="2" t="s">
        <v>1160</v>
      </c>
      <c r="H75" s="2" t="s">
        <v>1191</v>
      </c>
      <c r="I75" s="6">
        <v>357269403160211</v>
      </c>
      <c r="J75" s="2" t="s">
        <v>1277</v>
      </c>
      <c r="K75" s="2" t="s">
        <v>108</v>
      </c>
      <c r="L75" s="2" t="s">
        <v>108</v>
      </c>
      <c r="M75" s="2" t="s">
        <v>108</v>
      </c>
      <c r="N75" s="2" t="s">
        <v>108</v>
      </c>
      <c r="O75" s="3">
        <v>45747</v>
      </c>
      <c r="P75" s="3">
        <v>45806</v>
      </c>
      <c r="Q75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4 meses</v>
      </c>
      <c r="R75" s="2" t="s">
        <v>1184</v>
      </c>
      <c r="S75" s="2" t="s">
        <v>1266</v>
      </c>
      <c r="T75" s="2" t="s">
        <v>1168</v>
      </c>
      <c r="U75" s="2" t="s">
        <v>1168</v>
      </c>
    </row>
    <row r="76" spans="1:21">
      <c r="A76" s="2">
        <v>75</v>
      </c>
      <c r="B76" s="2" t="s">
        <v>498</v>
      </c>
      <c r="C76" s="2" t="s">
        <v>108</v>
      </c>
      <c r="D76" s="2" t="s">
        <v>14</v>
      </c>
      <c r="E76" s="5" t="s">
        <v>27</v>
      </c>
      <c r="F76" s="2">
        <v>913739565</v>
      </c>
      <c r="G76" s="2" t="s">
        <v>1160</v>
      </c>
      <c r="H76" s="2" t="s">
        <v>1169</v>
      </c>
      <c r="I76" s="6">
        <v>357494912361239</v>
      </c>
      <c r="J76" s="2" t="s">
        <v>1278</v>
      </c>
      <c r="K76" s="2" t="s">
        <v>108</v>
      </c>
      <c r="L76" s="2" t="s">
        <v>108</v>
      </c>
      <c r="M76" s="2" t="s">
        <v>108</v>
      </c>
      <c r="N76" s="2" t="s">
        <v>108</v>
      </c>
      <c r="O76" s="3">
        <v>45043</v>
      </c>
      <c r="P76" s="3">
        <v>45852</v>
      </c>
      <c r="Q76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3 meses</v>
      </c>
      <c r="R76" s="2" t="s">
        <v>1166</v>
      </c>
      <c r="S76" s="2" t="s">
        <v>1167</v>
      </c>
      <c r="T76" s="2" t="s">
        <v>1176</v>
      </c>
      <c r="U76" s="2" t="s">
        <v>1176</v>
      </c>
    </row>
    <row r="77" spans="1:21" ht="29.25">
      <c r="A77" s="2">
        <v>76</v>
      </c>
      <c r="B77" s="2" t="s">
        <v>506</v>
      </c>
      <c r="C77" s="2" t="s">
        <v>108</v>
      </c>
      <c r="D77" s="2" t="s">
        <v>14</v>
      </c>
      <c r="E77" s="5" t="s">
        <v>25</v>
      </c>
      <c r="F77" s="2">
        <v>961002227</v>
      </c>
      <c r="G77" s="2" t="s">
        <v>1160</v>
      </c>
      <c r="H77" s="2" t="s">
        <v>1191</v>
      </c>
      <c r="I77" s="6">
        <v>357269400232575</v>
      </c>
      <c r="J77" s="2" t="s">
        <v>1279</v>
      </c>
      <c r="K77" s="2" t="s">
        <v>108</v>
      </c>
      <c r="L77" s="2" t="s">
        <v>108</v>
      </c>
      <c r="M77" s="2" t="s">
        <v>108</v>
      </c>
      <c r="N77" s="2" t="s">
        <v>108</v>
      </c>
      <c r="O77" s="3">
        <v>45853</v>
      </c>
      <c r="P77" s="3">
        <v>45874</v>
      </c>
      <c r="Q77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0 meses</v>
      </c>
      <c r="R77" s="2" t="s">
        <v>1184</v>
      </c>
      <c r="S77" s="2" t="s">
        <v>1266</v>
      </c>
      <c r="T77" s="2" t="s">
        <v>1168</v>
      </c>
      <c r="U77" s="2" t="s">
        <v>1168</v>
      </c>
    </row>
    <row r="78" spans="1:21">
      <c r="A78" s="2">
        <v>77</v>
      </c>
      <c r="B78" s="2" t="s">
        <v>510</v>
      </c>
      <c r="C78" s="2" t="s">
        <v>108</v>
      </c>
      <c r="D78" s="2" t="s">
        <v>14</v>
      </c>
      <c r="E78" s="5" t="s">
        <v>27</v>
      </c>
      <c r="F78" s="2">
        <v>933271610</v>
      </c>
      <c r="G78" s="2" t="s">
        <v>1160</v>
      </c>
      <c r="H78" s="2" t="s">
        <v>1179</v>
      </c>
      <c r="I78" s="6">
        <v>359104250638001</v>
      </c>
      <c r="J78" s="2" t="s">
        <v>1280</v>
      </c>
      <c r="K78" s="2" t="s">
        <v>108</v>
      </c>
      <c r="L78" s="2" t="s">
        <v>108</v>
      </c>
      <c r="M78" s="2" t="s">
        <v>108</v>
      </c>
      <c r="N78" s="2" t="s">
        <v>108</v>
      </c>
      <c r="O78" s="3">
        <v>45338</v>
      </c>
      <c r="P78" s="3">
        <v>45558</v>
      </c>
      <c r="Q78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5 meses</v>
      </c>
      <c r="R78" s="2" t="s">
        <v>1166</v>
      </c>
      <c r="S78" s="2" t="s">
        <v>1167</v>
      </c>
      <c r="T78" s="2" t="s">
        <v>1168</v>
      </c>
      <c r="U78" s="2" t="s">
        <v>1168</v>
      </c>
    </row>
    <row r="79" spans="1:21">
      <c r="A79" s="2">
        <v>78</v>
      </c>
      <c r="B79" s="2" t="s">
        <v>515</v>
      </c>
      <c r="C79" s="2" t="s">
        <v>108</v>
      </c>
      <c r="D79" s="2" t="s">
        <v>14</v>
      </c>
      <c r="E79" s="5" t="s">
        <v>27</v>
      </c>
      <c r="F79" s="2">
        <v>919280590</v>
      </c>
      <c r="G79" s="2" t="s">
        <v>1160</v>
      </c>
      <c r="H79" s="2" t="s">
        <v>1223</v>
      </c>
      <c r="I79" s="6">
        <v>356263315558977</v>
      </c>
      <c r="J79" s="2" t="s">
        <v>1281</v>
      </c>
      <c r="K79" s="2" t="s">
        <v>108</v>
      </c>
      <c r="L79" s="2" t="s">
        <v>108</v>
      </c>
      <c r="M79" s="2" t="s">
        <v>108</v>
      </c>
      <c r="N79" s="2" t="s">
        <v>108</v>
      </c>
      <c r="O79" s="3">
        <v>45546</v>
      </c>
      <c r="P79" s="3">
        <v>45590</v>
      </c>
      <c r="Q79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11 meses</v>
      </c>
      <c r="R79" s="2" t="s">
        <v>1166</v>
      </c>
      <c r="S79" s="2" t="s">
        <v>1167</v>
      </c>
      <c r="T79" s="2" t="s">
        <v>1176</v>
      </c>
      <c r="U79" s="2" t="s">
        <v>1176</v>
      </c>
    </row>
    <row r="80" spans="1:21">
      <c r="A80" s="2">
        <v>79</v>
      </c>
      <c r="B80" s="2" t="s">
        <v>519</v>
      </c>
      <c r="C80" s="2" t="s">
        <v>108</v>
      </c>
      <c r="D80" s="2" t="s">
        <v>14</v>
      </c>
      <c r="E80" s="5" t="s">
        <v>22</v>
      </c>
      <c r="F80" s="2">
        <v>973211880</v>
      </c>
      <c r="G80" s="2" t="s">
        <v>1160</v>
      </c>
      <c r="H80" s="2" t="s">
        <v>1161</v>
      </c>
      <c r="I80" s="6">
        <v>358785932292133</v>
      </c>
      <c r="J80" s="2" t="s">
        <v>1282</v>
      </c>
      <c r="K80" s="2" t="s">
        <v>108</v>
      </c>
      <c r="L80" s="2" t="s">
        <v>108</v>
      </c>
      <c r="M80" s="2" t="s">
        <v>108</v>
      </c>
      <c r="N80" s="2" t="s">
        <v>108</v>
      </c>
      <c r="O80" s="3">
        <v>44946</v>
      </c>
      <c r="P80" s="3">
        <v>45684</v>
      </c>
      <c r="Q80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6 meses</v>
      </c>
      <c r="R80" s="2" t="s">
        <v>1166</v>
      </c>
      <c r="S80" s="2" t="s">
        <v>1167</v>
      </c>
      <c r="T80" s="2" t="s">
        <v>1176</v>
      </c>
      <c r="U80" s="2" t="s">
        <v>1176</v>
      </c>
    </row>
    <row r="81" spans="1:21">
      <c r="A81" s="2">
        <v>80</v>
      </c>
      <c r="B81" s="2" t="s">
        <v>524</v>
      </c>
      <c r="C81" s="2" t="s">
        <v>108</v>
      </c>
      <c r="D81" s="2" t="s">
        <v>14</v>
      </c>
      <c r="E81" s="5" t="s">
        <v>28</v>
      </c>
      <c r="F81" s="2">
        <v>977829469</v>
      </c>
      <c r="G81" s="2" t="s">
        <v>1160</v>
      </c>
      <c r="H81" s="2" t="s">
        <v>1169</v>
      </c>
      <c r="I81" s="6">
        <v>357494913789420</v>
      </c>
      <c r="J81" s="2" t="s">
        <v>1283</v>
      </c>
      <c r="K81" s="2" t="s">
        <v>108</v>
      </c>
      <c r="L81" s="2" t="s">
        <v>108</v>
      </c>
      <c r="M81" s="2" t="s">
        <v>108</v>
      </c>
      <c r="N81" s="2" t="s">
        <v>108</v>
      </c>
      <c r="O81" s="3">
        <v>45043</v>
      </c>
      <c r="P81" s="3">
        <v>45341</v>
      </c>
      <c r="Q81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3 meses</v>
      </c>
      <c r="R81" s="2" t="s">
        <v>1166</v>
      </c>
      <c r="S81" s="2" t="s">
        <v>1167</v>
      </c>
      <c r="T81" s="2" t="s">
        <v>1168</v>
      </c>
      <c r="U81" s="2" t="s">
        <v>1168</v>
      </c>
    </row>
    <row r="82" spans="1:21">
      <c r="A82" s="2">
        <v>81</v>
      </c>
      <c r="B82" s="2" t="s">
        <v>528</v>
      </c>
      <c r="C82" s="2" t="s">
        <v>108</v>
      </c>
      <c r="D82" s="2" t="s">
        <v>14</v>
      </c>
      <c r="E82" s="5" t="s">
        <v>24</v>
      </c>
      <c r="F82" s="2">
        <v>977838054</v>
      </c>
      <c r="G82" s="2" t="s">
        <v>1160</v>
      </c>
      <c r="H82" s="2" t="s">
        <v>1179</v>
      </c>
      <c r="I82" s="6">
        <v>351456830436555</v>
      </c>
      <c r="J82" s="2" t="s">
        <v>1284</v>
      </c>
      <c r="K82" s="2" t="s">
        <v>108</v>
      </c>
      <c r="L82" s="2" t="s">
        <v>108</v>
      </c>
      <c r="M82" s="2" t="s">
        <v>108</v>
      </c>
      <c r="N82" s="2" t="s">
        <v>108</v>
      </c>
      <c r="O82" s="3">
        <v>44946</v>
      </c>
      <c r="P82" s="3">
        <v>45344</v>
      </c>
      <c r="Q82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6 meses</v>
      </c>
      <c r="R82" s="2" t="s">
        <v>1166</v>
      </c>
      <c r="S82" s="2" t="s">
        <v>1167</v>
      </c>
      <c r="T82" s="2" t="s">
        <v>1168</v>
      </c>
      <c r="U82" s="2" t="s">
        <v>1168</v>
      </c>
    </row>
    <row r="83" spans="1:21">
      <c r="A83" s="2">
        <v>82</v>
      </c>
      <c r="B83" s="2" t="s">
        <v>532</v>
      </c>
      <c r="C83" s="2" t="s">
        <v>108</v>
      </c>
      <c r="D83" s="2" t="s">
        <v>14</v>
      </c>
      <c r="E83" s="5" t="s">
        <v>37</v>
      </c>
      <c r="F83" s="2">
        <v>943275141</v>
      </c>
      <c r="G83" s="2" t="s">
        <v>1285</v>
      </c>
      <c r="H83" s="2" t="s">
        <v>1286</v>
      </c>
      <c r="I83" s="6">
        <v>869426042758463</v>
      </c>
      <c r="J83" s="2" t="s">
        <v>1287</v>
      </c>
      <c r="K83" s="2" t="s">
        <v>108</v>
      </c>
      <c r="L83" s="2" t="s">
        <v>108</v>
      </c>
      <c r="M83" s="2" t="s">
        <v>108</v>
      </c>
      <c r="N83" s="2" t="s">
        <v>108</v>
      </c>
      <c r="O83" s="2" t="s">
        <v>108</v>
      </c>
      <c r="P83" s="3">
        <v>45665</v>
      </c>
      <c r="Q83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-</v>
      </c>
      <c r="R83" s="2" t="s">
        <v>1166</v>
      </c>
      <c r="S83" s="2" t="s">
        <v>1167</v>
      </c>
      <c r="T83" s="2" t="s">
        <v>1168</v>
      </c>
      <c r="U83" s="2" t="s">
        <v>1168</v>
      </c>
    </row>
    <row r="84" spans="1:21">
      <c r="A84" s="2">
        <v>84</v>
      </c>
      <c r="B84" s="2" t="s">
        <v>541</v>
      </c>
      <c r="C84" s="2" t="s">
        <v>108</v>
      </c>
      <c r="D84" s="2" t="s">
        <v>14</v>
      </c>
      <c r="E84" s="5" t="s">
        <v>27</v>
      </c>
      <c r="F84" s="2">
        <v>987336472</v>
      </c>
      <c r="G84" s="2" t="s">
        <v>1160</v>
      </c>
      <c r="H84" s="2" t="s">
        <v>1252</v>
      </c>
      <c r="I84" s="6">
        <v>351066360500496</v>
      </c>
      <c r="J84" s="2" t="s">
        <v>1288</v>
      </c>
      <c r="K84" s="2" t="s">
        <v>1264</v>
      </c>
      <c r="L84" s="2" t="s">
        <v>108</v>
      </c>
      <c r="M84" s="2" t="s">
        <v>108</v>
      </c>
      <c r="N84" s="2" t="s">
        <v>108</v>
      </c>
      <c r="O84" s="3">
        <v>45673</v>
      </c>
      <c r="P84" s="3">
        <v>45827</v>
      </c>
      <c r="Q84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6 meses</v>
      </c>
      <c r="R84" s="2" t="s">
        <v>1166</v>
      </c>
      <c r="S84" s="2" t="s">
        <v>1167</v>
      </c>
      <c r="T84" s="2" t="s">
        <v>1176</v>
      </c>
      <c r="U84" s="2" t="s">
        <v>1176</v>
      </c>
    </row>
    <row r="85" spans="1:21">
      <c r="A85" s="2">
        <v>85</v>
      </c>
      <c r="B85" s="2" t="s">
        <v>182</v>
      </c>
      <c r="C85" s="2" t="s">
        <v>108</v>
      </c>
      <c r="D85" s="2" t="s">
        <v>14</v>
      </c>
      <c r="E85" s="5" t="s">
        <v>35</v>
      </c>
      <c r="F85" s="2">
        <v>913737282</v>
      </c>
      <c r="G85" s="2" t="s">
        <v>1160</v>
      </c>
      <c r="H85" s="2" t="s">
        <v>1289</v>
      </c>
      <c r="I85" s="6">
        <v>358615310961928</v>
      </c>
      <c r="J85" s="2" t="s">
        <v>1290</v>
      </c>
      <c r="K85" s="2" t="s">
        <v>108</v>
      </c>
      <c r="L85" s="2" t="s">
        <v>108</v>
      </c>
      <c r="M85" s="2" t="s">
        <v>108</v>
      </c>
      <c r="N85" s="2" t="s">
        <v>108</v>
      </c>
      <c r="O85" s="3">
        <v>45546</v>
      </c>
      <c r="P85" s="3">
        <v>45538</v>
      </c>
      <c r="Q85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11 meses</v>
      </c>
      <c r="R85" s="2" t="s">
        <v>1166</v>
      </c>
      <c r="S85" s="2" t="s">
        <v>1291</v>
      </c>
      <c r="T85" s="2" t="s">
        <v>1168</v>
      </c>
      <c r="U85" s="2" t="s">
        <v>1168</v>
      </c>
    </row>
    <row r="86" spans="1:21">
      <c r="A86" s="2">
        <v>86</v>
      </c>
      <c r="B86" s="2" t="s">
        <v>1292</v>
      </c>
      <c r="C86" s="2" t="s">
        <v>108</v>
      </c>
      <c r="D86" s="2" t="s">
        <v>14</v>
      </c>
      <c r="E86" s="5" t="s">
        <v>27</v>
      </c>
      <c r="F86" s="2">
        <v>984538102</v>
      </c>
      <c r="G86" s="2" t="s">
        <v>1160</v>
      </c>
      <c r="H86" s="2" t="s">
        <v>1223</v>
      </c>
      <c r="I86" s="6">
        <v>356263315565006</v>
      </c>
      <c r="J86" s="2" t="s">
        <v>1293</v>
      </c>
      <c r="K86" s="2" t="s">
        <v>108</v>
      </c>
      <c r="L86" s="2" t="s">
        <v>108</v>
      </c>
      <c r="M86" s="2" t="s">
        <v>108</v>
      </c>
      <c r="N86" s="2" t="s">
        <v>108</v>
      </c>
      <c r="O86" s="3">
        <v>44946</v>
      </c>
      <c r="P86" s="3">
        <v>45803</v>
      </c>
      <c r="Q86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6 meses</v>
      </c>
      <c r="R86" s="2" t="s">
        <v>1166</v>
      </c>
      <c r="S86" s="2" t="s">
        <v>1167</v>
      </c>
      <c r="T86" s="2" t="s">
        <v>1176</v>
      </c>
      <c r="U86" s="2" t="s">
        <v>1176</v>
      </c>
    </row>
    <row r="87" spans="1:21">
      <c r="A87" s="2">
        <v>88</v>
      </c>
      <c r="B87" s="2" t="s">
        <v>561</v>
      </c>
      <c r="C87" s="2" t="s">
        <v>108</v>
      </c>
      <c r="D87" s="2" t="s">
        <v>14</v>
      </c>
      <c r="E87" s="5" t="s">
        <v>29</v>
      </c>
      <c r="F87" s="2">
        <v>981291280</v>
      </c>
      <c r="G87" s="2" t="s">
        <v>1160</v>
      </c>
      <c r="H87" s="2" t="s">
        <v>1179</v>
      </c>
      <c r="I87" s="6">
        <v>351456832403249</v>
      </c>
      <c r="J87" s="2" t="s">
        <v>1294</v>
      </c>
      <c r="K87" s="2" t="s">
        <v>108</v>
      </c>
      <c r="L87" s="2" t="s">
        <v>108</v>
      </c>
      <c r="M87" s="2" t="s">
        <v>108</v>
      </c>
      <c r="N87" s="2" t="s">
        <v>108</v>
      </c>
      <c r="O87" s="3">
        <v>45338</v>
      </c>
      <c r="P87" s="3">
        <v>45629</v>
      </c>
      <c r="Q87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5 meses</v>
      </c>
      <c r="R87" s="2" t="s">
        <v>1166</v>
      </c>
      <c r="S87" s="2" t="s">
        <v>1167</v>
      </c>
      <c r="T87" s="2" t="s">
        <v>1168</v>
      </c>
      <c r="U87" s="2" t="s">
        <v>1168</v>
      </c>
    </row>
    <row r="88" spans="1:21">
      <c r="A88" s="2">
        <v>89</v>
      </c>
      <c r="B88" s="2" t="s">
        <v>564</v>
      </c>
      <c r="C88" s="2" t="s">
        <v>108</v>
      </c>
      <c r="D88" s="2" t="s">
        <v>14</v>
      </c>
      <c r="E88" s="5" t="s">
        <v>24</v>
      </c>
      <c r="F88" s="2">
        <v>913735869</v>
      </c>
      <c r="G88" s="2" t="s">
        <v>1160</v>
      </c>
      <c r="H88" s="2" t="s">
        <v>1179</v>
      </c>
      <c r="I88" s="6">
        <v>351456830437041</v>
      </c>
      <c r="J88" s="2" t="s">
        <v>1295</v>
      </c>
      <c r="K88" s="2" t="s">
        <v>108</v>
      </c>
      <c r="L88" s="2" t="s">
        <v>108</v>
      </c>
      <c r="M88" s="2" t="s">
        <v>108</v>
      </c>
      <c r="N88" s="2" t="s">
        <v>108</v>
      </c>
      <c r="O88" s="3">
        <v>45673</v>
      </c>
      <c r="P88" s="3">
        <v>45810</v>
      </c>
      <c r="Q88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6 meses</v>
      </c>
      <c r="R88" s="2" t="s">
        <v>1166</v>
      </c>
      <c r="S88" s="2" t="s">
        <v>1167</v>
      </c>
      <c r="T88" s="2" t="s">
        <v>1168</v>
      </c>
      <c r="U88" s="2" t="s">
        <v>1168</v>
      </c>
    </row>
    <row r="89" spans="1:21">
      <c r="A89" s="2">
        <v>90</v>
      </c>
      <c r="B89" s="2" t="s">
        <v>569</v>
      </c>
      <c r="C89" s="2" t="s">
        <v>108</v>
      </c>
      <c r="D89" s="2" t="s">
        <v>14</v>
      </c>
      <c r="E89" s="5" t="s">
        <v>37</v>
      </c>
      <c r="F89" s="2">
        <v>933659350</v>
      </c>
      <c r="G89" s="2" t="s">
        <v>1160</v>
      </c>
      <c r="H89" s="2" t="s">
        <v>1296</v>
      </c>
      <c r="I89" s="6" t="s">
        <v>1297</v>
      </c>
      <c r="J89" s="2" t="s">
        <v>1298</v>
      </c>
      <c r="K89" s="2" t="s">
        <v>1214</v>
      </c>
      <c r="L89" s="2" t="s">
        <v>108</v>
      </c>
      <c r="M89" s="2" t="s">
        <v>108</v>
      </c>
      <c r="N89" s="2" t="s">
        <v>108</v>
      </c>
      <c r="O89" s="3">
        <v>46112</v>
      </c>
      <c r="P89" s="3">
        <v>46113</v>
      </c>
      <c r="Q89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0 años y 4 meses</v>
      </c>
      <c r="R89" s="2" t="s">
        <v>1166</v>
      </c>
      <c r="S89" s="2" t="s">
        <v>1167</v>
      </c>
      <c r="T89" s="2" t="s">
        <v>1168</v>
      </c>
      <c r="U89" s="2" t="s">
        <v>1168</v>
      </c>
    </row>
    <row r="90" spans="1:21">
      <c r="A90" s="2">
        <v>91</v>
      </c>
      <c r="B90" s="2" t="s">
        <v>573</v>
      </c>
      <c r="C90" s="2" t="s">
        <v>108</v>
      </c>
      <c r="D90" s="2" t="s">
        <v>14</v>
      </c>
      <c r="E90" s="5" t="s">
        <v>27</v>
      </c>
      <c r="F90" s="2">
        <v>919280526</v>
      </c>
      <c r="G90" s="2" t="s">
        <v>1160</v>
      </c>
      <c r="H90" s="2" t="s">
        <v>1191</v>
      </c>
      <c r="I90" s="6">
        <v>357269400412573</v>
      </c>
      <c r="J90" s="2" t="s">
        <v>1299</v>
      </c>
      <c r="K90" s="2" t="s">
        <v>108</v>
      </c>
      <c r="L90" s="2" t="s">
        <v>108</v>
      </c>
      <c r="M90" s="2" t="s">
        <v>108</v>
      </c>
      <c r="N90" s="2" t="s">
        <v>108</v>
      </c>
      <c r="O90" s="3">
        <v>45911</v>
      </c>
      <c r="P90" s="3">
        <v>45918</v>
      </c>
      <c r="Q90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0 años y 11 meses</v>
      </c>
      <c r="R90" s="2" t="s">
        <v>1166</v>
      </c>
      <c r="S90" s="2" t="s">
        <v>1167</v>
      </c>
      <c r="T90" s="2" t="s">
        <v>1176</v>
      </c>
      <c r="U90" s="2" t="s">
        <v>1176</v>
      </c>
    </row>
    <row r="91" spans="1:21" ht="29.25">
      <c r="A91" s="2">
        <v>92</v>
      </c>
      <c r="B91" s="2" t="s">
        <v>577</v>
      </c>
      <c r="C91" s="2" t="s">
        <v>108</v>
      </c>
      <c r="D91" s="2" t="s">
        <v>14</v>
      </c>
      <c r="E91" s="5" t="s">
        <v>25</v>
      </c>
      <c r="F91" s="2">
        <v>934837477</v>
      </c>
      <c r="G91" s="2" t="s">
        <v>1160</v>
      </c>
      <c r="H91" s="2" t="s">
        <v>1191</v>
      </c>
      <c r="I91" s="6">
        <v>357269403143480</v>
      </c>
      <c r="J91" s="2" t="s">
        <v>1300</v>
      </c>
      <c r="K91" s="2" t="s">
        <v>108</v>
      </c>
      <c r="L91" s="2" t="s">
        <v>108</v>
      </c>
      <c r="M91" s="2" t="s">
        <v>108</v>
      </c>
      <c r="N91" s="2" t="s">
        <v>108</v>
      </c>
      <c r="O91" s="3">
        <v>45747</v>
      </c>
      <c r="P91" s="3">
        <v>45790</v>
      </c>
      <c r="Q91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4 meses</v>
      </c>
      <c r="R91" s="2" t="s">
        <v>1184</v>
      </c>
      <c r="S91" s="2" t="s">
        <v>1266</v>
      </c>
      <c r="T91" s="2" t="s">
        <v>1168</v>
      </c>
      <c r="U91" s="2" t="s">
        <v>1168</v>
      </c>
    </row>
    <row r="92" spans="1:21">
      <c r="A92" s="2">
        <v>93</v>
      </c>
      <c r="B92" s="2" t="s">
        <v>582</v>
      </c>
      <c r="C92" s="2" t="s">
        <v>108</v>
      </c>
      <c r="D92" s="2" t="s">
        <v>14</v>
      </c>
      <c r="E92" s="5" t="s">
        <v>24</v>
      </c>
      <c r="F92" s="2">
        <v>970704609</v>
      </c>
      <c r="G92" s="2" t="s">
        <v>1160</v>
      </c>
      <c r="H92" s="2" t="s">
        <v>1179</v>
      </c>
      <c r="I92" s="6">
        <v>351456830463013</v>
      </c>
      <c r="J92" s="2" t="s">
        <v>1293</v>
      </c>
      <c r="K92" s="2" t="s">
        <v>108</v>
      </c>
      <c r="L92" s="2" t="s">
        <v>108</v>
      </c>
      <c r="M92" s="2" t="s">
        <v>108</v>
      </c>
      <c r="N92" s="2" t="s">
        <v>108</v>
      </c>
      <c r="O92" s="3">
        <v>45338</v>
      </c>
      <c r="P92" s="3">
        <v>45344</v>
      </c>
      <c r="Q92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5 meses</v>
      </c>
      <c r="R92" s="2" t="s">
        <v>1166</v>
      </c>
      <c r="S92" s="2" t="s">
        <v>1167</v>
      </c>
      <c r="T92" s="2" t="s">
        <v>1168</v>
      </c>
      <c r="U92" s="2" t="s">
        <v>1168</v>
      </c>
    </row>
    <row r="93" spans="1:21">
      <c r="A93" s="2">
        <v>94</v>
      </c>
      <c r="B93" s="2" t="s">
        <v>586</v>
      </c>
      <c r="C93" s="2" t="s">
        <v>108</v>
      </c>
      <c r="D93" s="2" t="s">
        <v>14</v>
      </c>
      <c r="E93" s="5" t="s">
        <v>29</v>
      </c>
      <c r="F93" s="2">
        <v>945041458</v>
      </c>
      <c r="G93" s="2" t="s">
        <v>1160</v>
      </c>
      <c r="H93" s="2" t="s">
        <v>1179</v>
      </c>
      <c r="I93" s="6">
        <v>351456832077993</v>
      </c>
      <c r="J93" s="2" t="s">
        <v>1301</v>
      </c>
      <c r="K93" s="2" t="s">
        <v>108</v>
      </c>
      <c r="L93" s="2" t="s">
        <v>108</v>
      </c>
      <c r="M93" s="2" t="s">
        <v>108</v>
      </c>
      <c r="N93" s="2" t="s">
        <v>108</v>
      </c>
      <c r="O93" s="3">
        <v>45673</v>
      </c>
      <c r="P93" s="3">
        <v>45736</v>
      </c>
      <c r="Q93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6 meses</v>
      </c>
      <c r="R93" s="2" t="s">
        <v>1166</v>
      </c>
      <c r="S93" s="2" t="s">
        <v>1167</v>
      </c>
      <c r="T93" s="2" t="s">
        <v>1168</v>
      </c>
      <c r="U93" s="2" t="s">
        <v>1168</v>
      </c>
    </row>
    <row r="94" spans="1:21">
      <c r="A94" s="2">
        <v>95</v>
      </c>
      <c r="B94" s="2" t="s">
        <v>589</v>
      </c>
      <c r="C94" s="2" t="s">
        <v>108</v>
      </c>
      <c r="D94" s="2" t="s">
        <v>14</v>
      </c>
      <c r="E94" s="5" t="s">
        <v>27</v>
      </c>
      <c r="F94" s="2">
        <v>955155107</v>
      </c>
      <c r="G94" s="2" t="s">
        <v>1160</v>
      </c>
      <c r="H94" s="2" t="s">
        <v>1223</v>
      </c>
      <c r="I94" s="6">
        <v>356263315559207</v>
      </c>
      <c r="J94" s="2" t="s">
        <v>1302</v>
      </c>
      <c r="K94" s="2" t="s">
        <v>1163</v>
      </c>
      <c r="L94" s="2" t="s">
        <v>108</v>
      </c>
      <c r="M94" s="2" t="s">
        <v>108</v>
      </c>
      <c r="N94" s="2" t="s">
        <v>108</v>
      </c>
      <c r="O94" s="3">
        <v>44946</v>
      </c>
      <c r="P94" s="3">
        <v>45706</v>
      </c>
      <c r="Q94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6 meses</v>
      </c>
      <c r="R94" s="2" t="s">
        <v>1166</v>
      </c>
      <c r="S94" s="2" t="s">
        <v>1167</v>
      </c>
      <c r="T94" s="2" t="s">
        <v>1168</v>
      </c>
      <c r="U94" s="2" t="s">
        <v>1168</v>
      </c>
    </row>
    <row r="95" spans="1:21">
      <c r="A95" s="2">
        <v>124</v>
      </c>
      <c r="B95" s="2" t="s">
        <v>593</v>
      </c>
      <c r="C95" s="2" t="s">
        <v>108</v>
      </c>
      <c r="D95" s="2" t="s">
        <v>14</v>
      </c>
      <c r="E95" s="5" t="s">
        <v>27</v>
      </c>
      <c r="F95" s="2">
        <v>913737297</v>
      </c>
      <c r="G95" s="2" t="s">
        <v>1160</v>
      </c>
      <c r="H95" s="2" t="s">
        <v>1191</v>
      </c>
      <c r="I95" s="6">
        <v>357269403152648</v>
      </c>
      <c r="J95" s="2" t="s">
        <v>1303</v>
      </c>
      <c r="K95" s="2" t="s">
        <v>1214</v>
      </c>
      <c r="L95" s="2" t="s">
        <v>108</v>
      </c>
      <c r="M95" s="2" t="s">
        <v>108</v>
      </c>
      <c r="N95" s="2" t="s">
        <v>108</v>
      </c>
      <c r="O95" s="3">
        <v>45747</v>
      </c>
      <c r="P95" s="3">
        <v>45785</v>
      </c>
      <c r="Q95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4 meses</v>
      </c>
      <c r="R95" s="2" t="s">
        <v>1166</v>
      </c>
      <c r="S95" s="2" t="s">
        <v>1167</v>
      </c>
      <c r="T95" s="2" t="s">
        <v>1168</v>
      </c>
      <c r="U95" s="2" t="s">
        <v>1168</v>
      </c>
    </row>
    <row r="96" spans="1:21">
      <c r="A96" s="2">
        <v>96</v>
      </c>
      <c r="B96" s="2" t="s">
        <v>598</v>
      </c>
      <c r="C96" s="2" t="s">
        <v>108</v>
      </c>
      <c r="D96" s="2" t="s">
        <v>14</v>
      </c>
      <c r="E96" s="5" t="s">
        <v>27</v>
      </c>
      <c r="F96" s="2">
        <v>981027322</v>
      </c>
      <c r="G96" s="2" t="s">
        <v>1160</v>
      </c>
      <c r="H96" s="2" t="s">
        <v>1229</v>
      </c>
      <c r="I96" s="6">
        <v>350391900894519</v>
      </c>
      <c r="J96" s="2" t="s">
        <v>1304</v>
      </c>
      <c r="K96" s="2" t="s">
        <v>108</v>
      </c>
      <c r="L96" s="2" t="s">
        <v>108</v>
      </c>
      <c r="M96" s="2" t="s">
        <v>108</v>
      </c>
      <c r="N96" s="2" t="s">
        <v>108</v>
      </c>
      <c r="O96" s="3">
        <v>44946</v>
      </c>
      <c r="P96" s="3">
        <v>45407</v>
      </c>
      <c r="Q96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6 meses</v>
      </c>
      <c r="R96" s="2" t="s">
        <v>1166</v>
      </c>
      <c r="S96" s="2" t="s">
        <v>1167</v>
      </c>
      <c r="T96" s="2" t="s">
        <v>1176</v>
      </c>
      <c r="U96" s="2" t="s">
        <v>1176</v>
      </c>
    </row>
    <row r="97" spans="1:21">
      <c r="A97" s="2">
        <v>11</v>
      </c>
      <c r="B97" s="2" t="s">
        <v>602</v>
      </c>
      <c r="C97" s="2" t="s">
        <v>108</v>
      </c>
      <c r="D97" s="2" t="s">
        <v>14</v>
      </c>
      <c r="E97" s="5" t="s">
        <v>27</v>
      </c>
      <c r="F97" s="2">
        <v>973181946</v>
      </c>
      <c r="G97" s="2" t="s">
        <v>1160</v>
      </c>
      <c r="H97" s="2" t="s">
        <v>1179</v>
      </c>
      <c r="I97" s="6">
        <v>351456832061450</v>
      </c>
      <c r="J97" s="2" t="s">
        <v>1305</v>
      </c>
      <c r="K97" s="2" t="s">
        <v>1214</v>
      </c>
      <c r="L97" s="2" t="s">
        <v>108</v>
      </c>
      <c r="M97" s="2" t="s">
        <v>108</v>
      </c>
      <c r="N97" s="2" t="s">
        <v>108</v>
      </c>
      <c r="O97" s="3">
        <v>45673</v>
      </c>
      <c r="P97" s="3">
        <v>45719</v>
      </c>
      <c r="Q97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6 meses</v>
      </c>
      <c r="R97" s="2" t="s">
        <v>1166</v>
      </c>
      <c r="S97" s="2" t="s">
        <v>1167</v>
      </c>
      <c r="T97" s="2" t="s">
        <v>1168</v>
      </c>
      <c r="U97" s="2" t="s">
        <v>1168</v>
      </c>
    </row>
    <row r="98" spans="1:21" ht="29.25">
      <c r="A98" s="2">
        <v>98</v>
      </c>
      <c r="B98" s="2" t="s">
        <v>606</v>
      </c>
      <c r="C98" s="2" t="s">
        <v>108</v>
      </c>
      <c r="D98" s="2" t="s">
        <v>14</v>
      </c>
      <c r="E98" s="5" t="s">
        <v>25</v>
      </c>
      <c r="F98" s="2">
        <v>999527342</v>
      </c>
      <c r="G98" s="2" t="s">
        <v>1160</v>
      </c>
      <c r="H98" s="2" t="s">
        <v>1169</v>
      </c>
      <c r="I98" s="6">
        <v>357494913792978</v>
      </c>
      <c r="J98" s="2" t="s">
        <v>1306</v>
      </c>
      <c r="K98" s="2" t="s">
        <v>108</v>
      </c>
      <c r="L98" s="2" t="s">
        <v>108</v>
      </c>
      <c r="M98" s="2" t="s">
        <v>108</v>
      </c>
      <c r="N98" s="2" t="s">
        <v>108</v>
      </c>
      <c r="O98" s="3">
        <v>45043</v>
      </c>
      <c r="P98" s="3">
        <v>45335</v>
      </c>
      <c r="Q98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3 meses</v>
      </c>
      <c r="R98" s="2" t="s">
        <v>1184</v>
      </c>
      <c r="S98" s="2" t="s">
        <v>1266</v>
      </c>
      <c r="T98" s="2" t="s">
        <v>1168</v>
      </c>
      <c r="U98" s="2" t="s">
        <v>1168</v>
      </c>
    </row>
    <row r="99" spans="1:21" ht="29.25">
      <c r="A99" s="2">
        <v>99</v>
      </c>
      <c r="B99" s="2" t="s">
        <v>1307</v>
      </c>
      <c r="C99" s="2" t="s">
        <v>108</v>
      </c>
      <c r="D99" s="2" t="s">
        <v>14</v>
      </c>
      <c r="E99" s="5" t="s">
        <v>25</v>
      </c>
      <c r="F99" s="2">
        <v>965722454</v>
      </c>
      <c r="G99" s="2" t="s">
        <v>1160</v>
      </c>
      <c r="H99" s="2" t="s">
        <v>1210</v>
      </c>
      <c r="I99" s="6">
        <v>358055385964764</v>
      </c>
      <c r="J99" s="2" t="s">
        <v>1308</v>
      </c>
      <c r="K99" s="2" t="s">
        <v>108</v>
      </c>
      <c r="L99" s="2" t="s">
        <v>108</v>
      </c>
      <c r="M99" s="2" t="s">
        <v>108</v>
      </c>
      <c r="N99" s="2" t="s">
        <v>108</v>
      </c>
      <c r="O99" s="3">
        <v>45276</v>
      </c>
      <c r="P99" s="3">
        <v>45909</v>
      </c>
      <c r="Q99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7 meses</v>
      </c>
      <c r="R99" s="2" t="s">
        <v>1166</v>
      </c>
      <c r="S99" s="2" t="s">
        <v>1167</v>
      </c>
      <c r="T99" s="2" t="s">
        <v>1168</v>
      </c>
      <c r="U99" s="2" t="s">
        <v>1168</v>
      </c>
    </row>
    <row r="100" spans="1:21">
      <c r="A100" s="2">
        <v>100</v>
      </c>
      <c r="B100" s="2" t="s">
        <v>611</v>
      </c>
      <c r="C100" s="2" t="s">
        <v>108</v>
      </c>
      <c r="D100" s="2" t="s">
        <v>14</v>
      </c>
      <c r="E100" s="5" t="s">
        <v>27</v>
      </c>
      <c r="F100" s="2">
        <v>981583347</v>
      </c>
      <c r="G100" s="2" t="s">
        <v>1160</v>
      </c>
      <c r="H100" s="2" t="s">
        <v>1161</v>
      </c>
      <c r="I100" s="6">
        <v>358785932278728</v>
      </c>
      <c r="J100" s="2" t="s">
        <v>1309</v>
      </c>
      <c r="K100" s="2" t="s">
        <v>108</v>
      </c>
      <c r="L100" s="2" t="s">
        <v>108</v>
      </c>
      <c r="M100" s="2" t="s">
        <v>108</v>
      </c>
      <c r="N100" s="2" t="s">
        <v>108</v>
      </c>
      <c r="O100" s="3">
        <v>45276</v>
      </c>
      <c r="P100" s="3">
        <v>44368</v>
      </c>
      <c r="Q100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7 meses</v>
      </c>
      <c r="R100" s="2" t="s">
        <v>1166</v>
      </c>
      <c r="S100" s="2" t="s">
        <v>1167</v>
      </c>
      <c r="T100" s="2" t="s">
        <v>1176</v>
      </c>
      <c r="U100" s="2" t="s">
        <v>1176</v>
      </c>
    </row>
    <row r="101" spans="1:21">
      <c r="A101" s="2">
        <v>101</v>
      </c>
      <c r="B101" s="2" t="s">
        <v>615</v>
      </c>
      <c r="C101" s="2" t="s">
        <v>108</v>
      </c>
      <c r="D101" s="2" t="s">
        <v>14</v>
      </c>
      <c r="E101" s="5" t="s">
        <v>27</v>
      </c>
      <c r="F101" s="2">
        <v>965722431</v>
      </c>
      <c r="G101" s="2" t="s">
        <v>1160</v>
      </c>
      <c r="H101" s="2" t="s">
        <v>1161</v>
      </c>
      <c r="I101" s="6">
        <v>358785932283397</v>
      </c>
      <c r="J101" s="2" t="s">
        <v>1310</v>
      </c>
      <c r="K101" s="2" t="s">
        <v>108</v>
      </c>
      <c r="L101" s="2" t="s">
        <v>108</v>
      </c>
      <c r="M101" s="2" t="s">
        <v>108</v>
      </c>
      <c r="N101" s="2" t="s">
        <v>108</v>
      </c>
      <c r="O101" s="3">
        <v>44946</v>
      </c>
      <c r="P101" s="3">
        <v>45889</v>
      </c>
      <c r="Q101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6 meses</v>
      </c>
      <c r="R101" s="2" t="s">
        <v>1166</v>
      </c>
      <c r="S101" s="2" t="s">
        <v>1167</v>
      </c>
      <c r="T101" s="2" t="s">
        <v>1176</v>
      </c>
      <c r="U101" s="2" t="s">
        <v>1176</v>
      </c>
    </row>
    <row r="102" spans="1:21">
      <c r="A102" s="2">
        <v>102</v>
      </c>
      <c r="B102" s="2" t="s">
        <v>619</v>
      </c>
      <c r="C102" s="2" t="s">
        <v>108</v>
      </c>
      <c r="D102" s="2" t="s">
        <v>14</v>
      </c>
      <c r="E102" s="5" t="s">
        <v>27</v>
      </c>
      <c r="F102" s="2">
        <v>996896407</v>
      </c>
      <c r="G102" s="2" t="s">
        <v>1160</v>
      </c>
      <c r="H102" s="2" t="s">
        <v>1161</v>
      </c>
      <c r="I102" s="6">
        <v>358785932277993</v>
      </c>
      <c r="J102" s="2" t="s">
        <v>1311</v>
      </c>
      <c r="K102" s="2" t="s">
        <v>108</v>
      </c>
      <c r="L102" s="2" t="s">
        <v>108</v>
      </c>
      <c r="M102" s="2" t="s">
        <v>108</v>
      </c>
      <c r="N102" s="2" t="s">
        <v>108</v>
      </c>
      <c r="O102" s="3">
        <v>45301</v>
      </c>
      <c r="P102" s="3">
        <v>45601</v>
      </c>
      <c r="Q102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7 meses</v>
      </c>
      <c r="R102" s="2" t="s">
        <v>1166</v>
      </c>
      <c r="S102" s="2" t="s">
        <v>1167</v>
      </c>
      <c r="T102" s="2" t="s">
        <v>1176</v>
      </c>
      <c r="U102" s="2" t="s">
        <v>1176</v>
      </c>
    </row>
    <row r="103" spans="1:21">
      <c r="A103" s="2">
        <v>103</v>
      </c>
      <c r="B103" s="2" t="s">
        <v>623</v>
      </c>
      <c r="C103" s="2" t="s">
        <v>108</v>
      </c>
      <c r="D103" s="2" t="s">
        <v>14</v>
      </c>
      <c r="E103" s="5" t="s">
        <v>27</v>
      </c>
      <c r="F103" s="2">
        <v>943442171</v>
      </c>
      <c r="G103" s="2" t="s">
        <v>1160</v>
      </c>
      <c r="H103" s="2" t="s">
        <v>1195</v>
      </c>
      <c r="I103" s="6">
        <v>356241324936376</v>
      </c>
      <c r="J103" s="2" t="s">
        <v>1312</v>
      </c>
      <c r="K103" s="2" t="s">
        <v>108</v>
      </c>
      <c r="L103" s="2" t="s">
        <v>108</v>
      </c>
      <c r="M103" s="2" t="s">
        <v>108</v>
      </c>
      <c r="N103" s="2" t="s">
        <v>108</v>
      </c>
      <c r="O103" s="3">
        <v>45301</v>
      </c>
      <c r="P103" s="3">
        <v>45317</v>
      </c>
      <c r="Q103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7 meses</v>
      </c>
      <c r="R103" s="2" t="s">
        <v>1166</v>
      </c>
      <c r="S103" s="2" t="s">
        <v>1167</v>
      </c>
      <c r="T103" s="2" t="s">
        <v>1176</v>
      </c>
      <c r="U103" s="2" t="s">
        <v>1176</v>
      </c>
    </row>
    <row r="104" spans="1:21">
      <c r="A104" s="2">
        <v>105</v>
      </c>
      <c r="B104" s="2" t="s">
        <v>632</v>
      </c>
      <c r="C104" s="2" t="s">
        <v>108</v>
      </c>
      <c r="D104" s="2" t="s">
        <v>14</v>
      </c>
      <c r="E104" s="5" t="s">
        <v>22</v>
      </c>
      <c r="F104" s="2">
        <v>960658685</v>
      </c>
      <c r="G104" s="2" t="s">
        <v>1160</v>
      </c>
      <c r="H104" s="2" t="s">
        <v>1223</v>
      </c>
      <c r="I104" s="6">
        <v>356263315585236</v>
      </c>
      <c r="J104" s="2" t="s">
        <v>1313</v>
      </c>
      <c r="K104" s="2" t="s">
        <v>108</v>
      </c>
      <c r="L104" s="2" t="s">
        <v>108</v>
      </c>
      <c r="M104" s="2" t="s">
        <v>108</v>
      </c>
      <c r="N104" s="2" t="s">
        <v>108</v>
      </c>
      <c r="O104" s="3">
        <v>44946</v>
      </c>
      <c r="P104" s="3">
        <v>45089</v>
      </c>
      <c r="Q104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6 meses</v>
      </c>
      <c r="R104" s="2" t="s">
        <v>1166</v>
      </c>
      <c r="S104" s="2" t="s">
        <v>1167</v>
      </c>
      <c r="T104" s="2" t="s">
        <v>1176</v>
      </c>
      <c r="U104" s="2" t="s">
        <v>1176</v>
      </c>
    </row>
    <row r="105" spans="1:21">
      <c r="A105" s="2">
        <v>106</v>
      </c>
      <c r="B105" s="2" t="s">
        <v>637</v>
      </c>
      <c r="C105" s="2" t="s">
        <v>108</v>
      </c>
      <c r="D105" s="2" t="s">
        <v>14</v>
      </c>
      <c r="E105" s="5" t="s">
        <v>27</v>
      </c>
      <c r="F105" s="2">
        <v>977838806</v>
      </c>
      <c r="G105" s="2" t="s">
        <v>1160</v>
      </c>
      <c r="H105" s="2" t="s">
        <v>1195</v>
      </c>
      <c r="I105" s="6">
        <v>356241324939859</v>
      </c>
      <c r="J105" s="2" t="s">
        <v>1314</v>
      </c>
      <c r="K105" s="2" t="s">
        <v>108</v>
      </c>
      <c r="L105" s="2" t="s">
        <v>108</v>
      </c>
      <c r="M105" s="2" t="s">
        <v>108</v>
      </c>
      <c r="N105" s="2" t="s">
        <v>108</v>
      </c>
      <c r="O105" s="3">
        <v>45301</v>
      </c>
      <c r="P105" s="3">
        <v>45825</v>
      </c>
      <c r="Q105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7 meses</v>
      </c>
      <c r="R105" s="2" t="s">
        <v>1166</v>
      </c>
      <c r="S105" s="2" t="s">
        <v>1167</v>
      </c>
      <c r="T105" s="2" t="s">
        <v>1176</v>
      </c>
      <c r="U105" s="2" t="s">
        <v>1176</v>
      </c>
    </row>
    <row r="106" spans="1:21">
      <c r="A106" s="2">
        <v>107</v>
      </c>
      <c r="B106" s="2" t="s">
        <v>641</v>
      </c>
      <c r="C106" s="2" t="s">
        <v>108</v>
      </c>
      <c r="D106" s="2" t="s">
        <v>14</v>
      </c>
      <c r="E106" s="5" t="s">
        <v>28</v>
      </c>
      <c r="F106" s="2">
        <v>955465977</v>
      </c>
      <c r="G106" s="2" t="s">
        <v>1160</v>
      </c>
      <c r="H106" s="2" t="s">
        <v>1191</v>
      </c>
      <c r="I106" s="6">
        <v>357269403161144</v>
      </c>
      <c r="J106" s="2" t="s">
        <v>1315</v>
      </c>
      <c r="K106" s="2" t="s">
        <v>108</v>
      </c>
      <c r="L106" s="2" t="s">
        <v>108</v>
      </c>
      <c r="M106" s="2" t="s">
        <v>108</v>
      </c>
      <c r="N106" s="2" t="s">
        <v>108</v>
      </c>
      <c r="O106" s="3">
        <v>45747</v>
      </c>
      <c r="P106" s="3">
        <v>45762</v>
      </c>
      <c r="Q106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4 meses</v>
      </c>
      <c r="R106" s="2" t="s">
        <v>1166</v>
      </c>
      <c r="S106" s="2" t="s">
        <v>1167</v>
      </c>
      <c r="T106" s="2" t="s">
        <v>1168</v>
      </c>
      <c r="U106" s="2" t="s">
        <v>1168</v>
      </c>
    </row>
    <row r="107" spans="1:21">
      <c r="A107" s="2">
        <v>108</v>
      </c>
      <c r="B107" s="2" t="s">
        <v>646</v>
      </c>
      <c r="C107" s="2" t="s">
        <v>108</v>
      </c>
      <c r="D107" s="2" t="s">
        <v>14</v>
      </c>
      <c r="E107" s="5" t="s">
        <v>30</v>
      </c>
      <c r="F107" s="2">
        <v>913736566</v>
      </c>
      <c r="G107" s="2" t="s">
        <v>1160</v>
      </c>
      <c r="H107" s="2" t="s">
        <v>1179</v>
      </c>
      <c r="I107" s="6">
        <v>351456830356977</v>
      </c>
      <c r="J107" s="2" t="s">
        <v>1316</v>
      </c>
      <c r="K107" s="2" t="s">
        <v>108</v>
      </c>
      <c r="L107" s="2" t="s">
        <v>108</v>
      </c>
      <c r="M107" s="2" t="s">
        <v>108</v>
      </c>
      <c r="N107" s="2" t="s">
        <v>108</v>
      </c>
      <c r="O107" s="3">
        <v>45338</v>
      </c>
      <c r="P107" s="3">
        <v>45446</v>
      </c>
      <c r="Q107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5 meses</v>
      </c>
      <c r="R107" s="2" t="s">
        <v>1166</v>
      </c>
      <c r="S107" s="2" t="s">
        <v>1167</v>
      </c>
      <c r="T107" s="2" t="s">
        <v>1168</v>
      </c>
      <c r="U107" s="2" t="s">
        <v>1168</v>
      </c>
    </row>
    <row r="108" spans="1:21">
      <c r="A108" s="2">
        <v>83</v>
      </c>
      <c r="B108" s="2" t="s">
        <v>1317</v>
      </c>
      <c r="C108" s="2" t="s">
        <v>108</v>
      </c>
      <c r="D108" s="2" t="s">
        <v>14</v>
      </c>
      <c r="E108" s="5" t="s">
        <v>27</v>
      </c>
      <c r="F108" s="2">
        <v>973211887</v>
      </c>
      <c r="G108" s="2" t="s">
        <v>1160</v>
      </c>
      <c r="H108" s="2" t="s">
        <v>1252</v>
      </c>
      <c r="I108" s="6">
        <v>351066360989061</v>
      </c>
      <c r="J108" s="2" t="s">
        <v>1318</v>
      </c>
      <c r="K108" s="2" t="s">
        <v>108</v>
      </c>
      <c r="L108" s="2" t="s">
        <v>108</v>
      </c>
      <c r="M108" s="2" t="s">
        <v>108</v>
      </c>
      <c r="N108" s="2" t="s">
        <v>108</v>
      </c>
      <c r="O108" s="3">
        <v>45673</v>
      </c>
      <c r="P108" s="3">
        <v>45959</v>
      </c>
      <c r="Q108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6 meses</v>
      </c>
      <c r="R108" s="2" t="s">
        <v>1166</v>
      </c>
      <c r="S108" s="2" t="s">
        <v>1167</v>
      </c>
      <c r="T108" s="2" t="s">
        <v>1176</v>
      </c>
      <c r="U108" s="2" t="s">
        <v>1176</v>
      </c>
    </row>
    <row r="109" spans="1:21">
      <c r="A109" s="2">
        <v>110</v>
      </c>
      <c r="B109" s="2" t="s">
        <v>655</v>
      </c>
      <c r="C109" s="2" t="s">
        <v>108</v>
      </c>
      <c r="D109" s="2" t="s">
        <v>14</v>
      </c>
      <c r="E109" s="5" t="s">
        <v>27</v>
      </c>
      <c r="F109" s="2">
        <v>919280585</v>
      </c>
      <c r="G109" s="2" t="s">
        <v>1160</v>
      </c>
      <c r="H109" s="2" t="s">
        <v>1195</v>
      </c>
      <c r="I109" s="6">
        <v>356241324969534</v>
      </c>
      <c r="J109" s="2" t="s">
        <v>1319</v>
      </c>
      <c r="K109" s="2" t="s">
        <v>108</v>
      </c>
      <c r="L109" s="2" t="s">
        <v>108</v>
      </c>
      <c r="M109" s="2" t="s">
        <v>108</v>
      </c>
      <c r="N109" s="2" t="s">
        <v>108</v>
      </c>
      <c r="O109" s="3">
        <v>45301</v>
      </c>
      <c r="P109" s="3">
        <v>45317</v>
      </c>
      <c r="Q109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7 meses</v>
      </c>
      <c r="R109" s="2" t="s">
        <v>1166</v>
      </c>
      <c r="S109" s="2" t="s">
        <v>1167</v>
      </c>
      <c r="T109" s="2" t="s">
        <v>1176</v>
      </c>
      <c r="U109" s="2" t="s">
        <v>1176</v>
      </c>
    </row>
    <row r="110" spans="1:21">
      <c r="A110" s="2">
        <v>111</v>
      </c>
      <c r="B110" s="2" t="s">
        <v>659</v>
      </c>
      <c r="C110" s="2" t="s">
        <v>108</v>
      </c>
      <c r="D110" s="2" t="s">
        <v>14</v>
      </c>
      <c r="E110" s="5" t="s">
        <v>29</v>
      </c>
      <c r="F110" s="2" t="s">
        <v>1200</v>
      </c>
      <c r="G110" s="2" t="s">
        <v>108</v>
      </c>
      <c r="H110" s="2" t="s">
        <v>1206</v>
      </c>
      <c r="I110" s="6" t="s">
        <v>1206</v>
      </c>
      <c r="J110" s="2" t="s">
        <v>1206</v>
      </c>
      <c r="K110" s="2" t="s">
        <v>108</v>
      </c>
      <c r="L110" s="2" t="s">
        <v>108</v>
      </c>
      <c r="M110" s="2" t="s">
        <v>108</v>
      </c>
      <c r="N110" s="2" t="s">
        <v>108</v>
      </c>
      <c r="O110" s="2" t="s">
        <v>108</v>
      </c>
      <c r="P110" s="2" t="s">
        <v>108</v>
      </c>
      <c r="Q110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-</v>
      </c>
      <c r="R110" s="2" t="s">
        <v>108</v>
      </c>
      <c r="S110" s="2" t="s">
        <v>108</v>
      </c>
      <c r="T110" s="2" t="s">
        <v>1168</v>
      </c>
      <c r="U110" s="2" t="s">
        <v>1168</v>
      </c>
    </row>
    <row r="111" spans="1:21">
      <c r="A111" s="2">
        <v>112</v>
      </c>
      <c r="B111" s="2" t="s">
        <v>663</v>
      </c>
      <c r="C111" s="2" t="s">
        <v>108</v>
      </c>
      <c r="D111" s="2" t="s">
        <v>14</v>
      </c>
      <c r="E111" s="5" t="s">
        <v>27</v>
      </c>
      <c r="F111" s="2">
        <v>988624284</v>
      </c>
      <c r="G111" s="2" t="s">
        <v>1160</v>
      </c>
      <c r="H111" s="2" t="s">
        <v>1223</v>
      </c>
      <c r="I111" s="6">
        <v>352396400156929</v>
      </c>
      <c r="J111" s="2" t="s">
        <v>1320</v>
      </c>
      <c r="K111" s="2" t="s">
        <v>108</v>
      </c>
      <c r="L111" s="2" t="s">
        <v>108</v>
      </c>
      <c r="M111" s="2" t="s">
        <v>108</v>
      </c>
      <c r="N111" s="2" t="s">
        <v>108</v>
      </c>
      <c r="O111" s="3">
        <v>45338</v>
      </c>
      <c r="P111" s="3">
        <v>45910</v>
      </c>
      <c r="Q111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5 meses</v>
      </c>
      <c r="R111" s="2" t="s">
        <v>1166</v>
      </c>
      <c r="S111" s="2" t="s">
        <v>1167</v>
      </c>
      <c r="T111" s="2" t="s">
        <v>1176</v>
      </c>
      <c r="U111" s="2" t="s">
        <v>1176</v>
      </c>
    </row>
    <row r="112" spans="1:21">
      <c r="A112" s="2">
        <v>113</v>
      </c>
      <c r="B112" s="2" t="s">
        <v>668</v>
      </c>
      <c r="C112" s="2" t="s">
        <v>108</v>
      </c>
      <c r="D112" s="2" t="s">
        <v>14</v>
      </c>
      <c r="E112" s="5" t="s">
        <v>21</v>
      </c>
      <c r="F112" s="2">
        <v>945290543</v>
      </c>
      <c r="G112" s="2" t="s">
        <v>1160</v>
      </c>
      <c r="H112" s="2" t="s">
        <v>1169</v>
      </c>
      <c r="I112" s="6">
        <v>357494913801613</v>
      </c>
      <c r="J112" s="2" t="s">
        <v>1321</v>
      </c>
      <c r="K112" s="2" t="s">
        <v>108</v>
      </c>
      <c r="L112" s="2" t="s">
        <v>108</v>
      </c>
      <c r="M112" s="2" t="s">
        <v>108</v>
      </c>
      <c r="N112" s="2" t="s">
        <v>108</v>
      </c>
      <c r="O112" s="3">
        <v>45043</v>
      </c>
      <c r="P112" s="3">
        <v>45331</v>
      </c>
      <c r="Q112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3 meses</v>
      </c>
      <c r="R112" s="2" t="s">
        <v>1166</v>
      </c>
      <c r="S112" s="2" t="s">
        <v>1167</v>
      </c>
      <c r="T112" s="2" t="s">
        <v>1168</v>
      </c>
      <c r="U112" s="2" t="s">
        <v>1168</v>
      </c>
    </row>
    <row r="113" spans="1:21">
      <c r="A113" s="2">
        <v>114</v>
      </c>
      <c r="B113" s="2" t="s">
        <v>673</v>
      </c>
      <c r="C113" s="2" t="s">
        <v>108</v>
      </c>
      <c r="D113" s="2" t="s">
        <v>14</v>
      </c>
      <c r="E113" s="5" t="s">
        <v>27</v>
      </c>
      <c r="F113" s="2">
        <v>913733673</v>
      </c>
      <c r="G113" s="2" t="s">
        <v>1160</v>
      </c>
      <c r="H113" s="2" t="s">
        <v>1210</v>
      </c>
      <c r="I113" s="6">
        <v>350640425765673</v>
      </c>
      <c r="J113" s="2" t="s">
        <v>1322</v>
      </c>
      <c r="K113" s="2" t="s">
        <v>108</v>
      </c>
      <c r="L113" s="2" t="s">
        <v>108</v>
      </c>
      <c r="M113" s="2" t="s">
        <v>108</v>
      </c>
      <c r="N113" s="2" t="s">
        <v>108</v>
      </c>
      <c r="O113" s="3">
        <v>45966</v>
      </c>
      <c r="P113" s="3">
        <v>45644</v>
      </c>
      <c r="Q113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0 años y 9 meses</v>
      </c>
      <c r="R113" s="2" t="s">
        <v>1166</v>
      </c>
      <c r="S113" s="2" t="s">
        <v>1167</v>
      </c>
      <c r="T113" s="2" t="s">
        <v>1176</v>
      </c>
      <c r="U113" s="2" t="s">
        <v>1176</v>
      </c>
    </row>
    <row r="114" spans="1:21">
      <c r="A114" s="2">
        <v>115</v>
      </c>
      <c r="B114" s="2" t="s">
        <v>677</v>
      </c>
      <c r="C114" s="2" t="s">
        <v>108</v>
      </c>
      <c r="D114" s="2" t="s">
        <v>14</v>
      </c>
      <c r="E114" s="5" t="s">
        <v>27</v>
      </c>
      <c r="F114" s="2">
        <v>983540552</v>
      </c>
      <c r="G114" s="2" t="s">
        <v>1160</v>
      </c>
      <c r="H114" s="2" t="s">
        <v>1195</v>
      </c>
      <c r="I114" s="6">
        <v>356241324976505</v>
      </c>
      <c r="J114" s="2" t="s">
        <v>1323</v>
      </c>
      <c r="K114" s="2" t="s">
        <v>108</v>
      </c>
      <c r="L114" s="2" t="s">
        <v>108</v>
      </c>
      <c r="M114" s="2" t="s">
        <v>108</v>
      </c>
      <c r="N114" s="2" t="s">
        <v>108</v>
      </c>
      <c r="O114" s="3">
        <v>45301</v>
      </c>
      <c r="P114" s="3">
        <v>45826</v>
      </c>
      <c r="Q114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7 meses</v>
      </c>
      <c r="R114" s="2" t="s">
        <v>1166</v>
      </c>
      <c r="S114" s="2" t="s">
        <v>1167</v>
      </c>
      <c r="T114" s="2" t="s">
        <v>1176</v>
      </c>
      <c r="U114" s="2" t="s">
        <v>1176</v>
      </c>
    </row>
    <row r="115" spans="1:21">
      <c r="A115" s="2">
        <v>116</v>
      </c>
      <c r="B115" s="2" t="s">
        <v>681</v>
      </c>
      <c r="C115" s="2" t="s">
        <v>108</v>
      </c>
      <c r="D115" s="2" t="s">
        <v>14</v>
      </c>
      <c r="E115" s="5" t="s">
        <v>24</v>
      </c>
      <c r="F115" s="2">
        <v>983582710</v>
      </c>
      <c r="G115" s="2" t="s">
        <v>1160</v>
      </c>
      <c r="H115" s="2" t="s">
        <v>1179</v>
      </c>
      <c r="I115" s="6">
        <v>351456830435888</v>
      </c>
      <c r="J115" s="2" t="s">
        <v>1324</v>
      </c>
      <c r="K115" s="2" t="s">
        <v>108</v>
      </c>
      <c r="L115" s="2" t="s">
        <v>108</v>
      </c>
      <c r="M115" s="2" t="s">
        <v>108</v>
      </c>
      <c r="N115" s="2" t="s">
        <v>108</v>
      </c>
      <c r="O115" s="3">
        <v>45338</v>
      </c>
      <c r="P115" s="3">
        <v>45345</v>
      </c>
      <c r="Q115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5 meses</v>
      </c>
      <c r="R115" s="2" t="s">
        <v>1166</v>
      </c>
      <c r="S115" s="2" t="s">
        <v>1167</v>
      </c>
      <c r="T115" s="2" t="s">
        <v>1168</v>
      </c>
      <c r="U115" s="2" t="s">
        <v>1168</v>
      </c>
    </row>
    <row r="116" spans="1:21">
      <c r="A116" s="2">
        <v>117</v>
      </c>
      <c r="B116" s="2" t="s">
        <v>685</v>
      </c>
      <c r="C116" s="2" t="s">
        <v>108</v>
      </c>
      <c r="D116" s="2" t="s">
        <v>14</v>
      </c>
      <c r="E116" s="5" t="s">
        <v>30</v>
      </c>
      <c r="F116" s="2">
        <v>987864314</v>
      </c>
      <c r="G116" s="2" t="s">
        <v>1160</v>
      </c>
      <c r="H116" s="2" t="s">
        <v>1195</v>
      </c>
      <c r="I116" s="6">
        <v>356241324975788</v>
      </c>
      <c r="J116" s="2" t="s">
        <v>1325</v>
      </c>
      <c r="K116" s="2" t="s">
        <v>108</v>
      </c>
      <c r="L116" s="2" t="s">
        <v>108</v>
      </c>
      <c r="M116" s="2" t="s">
        <v>108</v>
      </c>
      <c r="N116" s="2" t="s">
        <v>108</v>
      </c>
      <c r="O116" s="3">
        <v>45301</v>
      </c>
      <c r="P116" s="3">
        <v>45957</v>
      </c>
      <c r="Q116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7 meses</v>
      </c>
      <c r="R116" s="2" t="s">
        <v>1166</v>
      </c>
      <c r="S116" s="2" t="s">
        <v>1167</v>
      </c>
      <c r="T116" s="2" t="s">
        <v>1168</v>
      </c>
      <c r="U116" s="2" t="s">
        <v>1168</v>
      </c>
    </row>
    <row r="117" spans="1:21">
      <c r="A117" s="2">
        <v>118</v>
      </c>
      <c r="B117" s="2" t="s">
        <v>232</v>
      </c>
      <c r="C117" s="2" t="s">
        <v>108</v>
      </c>
      <c r="D117" s="2" t="s">
        <v>14</v>
      </c>
      <c r="E117" s="5" t="s">
        <v>27</v>
      </c>
      <c r="F117" s="2">
        <v>919280601</v>
      </c>
      <c r="G117" s="2" t="s">
        <v>1160</v>
      </c>
      <c r="H117" s="2" t="s">
        <v>1191</v>
      </c>
      <c r="I117" s="6">
        <v>356034167911089</v>
      </c>
      <c r="J117" s="2" t="s">
        <v>1326</v>
      </c>
      <c r="K117" s="2" t="s">
        <v>108</v>
      </c>
      <c r="L117" s="2" t="s">
        <v>108</v>
      </c>
      <c r="M117" s="2" t="s">
        <v>108</v>
      </c>
      <c r="N117" s="2" t="s">
        <v>108</v>
      </c>
      <c r="O117" s="3">
        <v>45966</v>
      </c>
      <c r="P117" s="3">
        <v>45972</v>
      </c>
      <c r="Q117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0 años y 9 meses</v>
      </c>
      <c r="R117" s="2" t="s">
        <v>1166</v>
      </c>
      <c r="S117" s="2" t="s">
        <v>1167</v>
      </c>
      <c r="T117" s="2" t="s">
        <v>1176</v>
      </c>
      <c r="U117" s="2" t="s">
        <v>1176</v>
      </c>
    </row>
    <row r="118" spans="1:21">
      <c r="A118" s="2">
        <v>141</v>
      </c>
      <c r="B118" s="2" t="s">
        <v>697</v>
      </c>
      <c r="C118" s="2" t="s">
        <v>108</v>
      </c>
      <c r="D118" s="2" t="s">
        <v>14</v>
      </c>
      <c r="E118" s="5" t="s">
        <v>27</v>
      </c>
      <c r="F118" s="2">
        <v>905433784</v>
      </c>
      <c r="G118" s="2" t="s">
        <v>1160</v>
      </c>
      <c r="H118" s="2" t="s">
        <v>1179</v>
      </c>
      <c r="I118" s="6">
        <v>359104250628952</v>
      </c>
      <c r="J118" s="2" t="s">
        <v>1327</v>
      </c>
      <c r="K118" s="2" t="s">
        <v>108</v>
      </c>
      <c r="L118" s="2" t="s">
        <v>108</v>
      </c>
      <c r="M118" s="2" t="s">
        <v>108</v>
      </c>
      <c r="N118" s="2" t="s">
        <v>108</v>
      </c>
      <c r="O118" s="3">
        <v>45673</v>
      </c>
      <c r="P118" s="3">
        <v>45678</v>
      </c>
      <c r="Q118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6 meses</v>
      </c>
      <c r="R118" s="2" t="s">
        <v>1166</v>
      </c>
      <c r="S118" s="2" t="s">
        <v>1167</v>
      </c>
      <c r="T118" s="2" t="s">
        <v>1168</v>
      </c>
      <c r="U118" s="2" t="s">
        <v>1168</v>
      </c>
    </row>
    <row r="119" spans="1:21">
      <c r="A119" s="2">
        <v>40</v>
      </c>
      <c r="B119" s="2" t="s">
        <v>701</v>
      </c>
      <c r="C119" s="2" t="s">
        <v>108</v>
      </c>
      <c r="D119" s="2" t="s">
        <v>14</v>
      </c>
      <c r="E119" s="5" t="s">
        <v>42</v>
      </c>
      <c r="F119" s="2">
        <v>945287867</v>
      </c>
      <c r="G119" s="2" t="s">
        <v>1160</v>
      </c>
      <c r="H119" s="2" t="s">
        <v>1179</v>
      </c>
      <c r="I119" s="6">
        <v>351456832073414</v>
      </c>
      <c r="J119" s="2" t="s">
        <v>1328</v>
      </c>
      <c r="K119" s="2" t="s">
        <v>108</v>
      </c>
      <c r="L119" s="2" t="s">
        <v>108</v>
      </c>
      <c r="M119" s="2" t="s">
        <v>108</v>
      </c>
      <c r="N119" s="2" t="s">
        <v>108</v>
      </c>
      <c r="O119" s="3">
        <v>45673</v>
      </c>
      <c r="P119" s="3">
        <v>45678</v>
      </c>
      <c r="Q119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6 meses</v>
      </c>
      <c r="R119" s="2" t="s">
        <v>1166</v>
      </c>
      <c r="S119" s="2" t="s">
        <v>1188</v>
      </c>
      <c r="T119" s="2" t="s">
        <v>1168</v>
      </c>
      <c r="U119" s="2" t="s">
        <v>1168</v>
      </c>
    </row>
    <row r="120" spans="1:21">
      <c r="A120" s="2">
        <v>121</v>
      </c>
      <c r="B120" s="2" t="s">
        <v>705</v>
      </c>
      <c r="C120" s="2" t="s">
        <v>108</v>
      </c>
      <c r="D120" s="2" t="s">
        <v>14</v>
      </c>
      <c r="E120" s="5" t="s">
        <v>22</v>
      </c>
      <c r="F120" s="2">
        <v>913732913</v>
      </c>
      <c r="G120" s="2" t="s">
        <v>1160</v>
      </c>
      <c r="H120" s="2" t="s">
        <v>1223</v>
      </c>
      <c r="I120" s="6">
        <v>356263315606214</v>
      </c>
      <c r="J120" s="2" t="s">
        <v>1329</v>
      </c>
      <c r="K120" s="2" t="s">
        <v>108</v>
      </c>
      <c r="L120" s="2" t="s">
        <v>108</v>
      </c>
      <c r="M120" s="2" t="s">
        <v>108</v>
      </c>
      <c r="N120" s="2" t="s">
        <v>108</v>
      </c>
      <c r="O120" s="3">
        <v>45747</v>
      </c>
      <c r="P120" s="3">
        <v>45754</v>
      </c>
      <c r="Q120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4 meses</v>
      </c>
      <c r="R120" s="2" t="s">
        <v>1166</v>
      </c>
      <c r="S120" s="2" t="s">
        <v>1167</v>
      </c>
      <c r="T120" s="2" t="s">
        <v>1176</v>
      </c>
      <c r="U120" s="2" t="s">
        <v>1176</v>
      </c>
    </row>
    <row r="121" spans="1:21">
      <c r="A121" s="2">
        <v>123</v>
      </c>
      <c r="B121" s="2" t="s">
        <v>719</v>
      </c>
      <c r="C121" s="2" t="s">
        <v>108</v>
      </c>
      <c r="D121" s="2" t="s">
        <v>14</v>
      </c>
      <c r="E121" s="5" t="s">
        <v>27</v>
      </c>
      <c r="F121" s="2">
        <v>905433813</v>
      </c>
      <c r="G121" s="2" t="s">
        <v>1160</v>
      </c>
      <c r="H121" s="2" t="s">
        <v>1195</v>
      </c>
      <c r="I121" s="6">
        <v>356241324969468</v>
      </c>
      <c r="J121" s="2" t="s">
        <v>1330</v>
      </c>
      <c r="K121" s="2" t="s">
        <v>108</v>
      </c>
      <c r="L121" s="2" t="s">
        <v>108</v>
      </c>
      <c r="M121" s="2" t="s">
        <v>108</v>
      </c>
      <c r="N121" s="2" t="s">
        <v>108</v>
      </c>
      <c r="O121" s="3">
        <v>45301</v>
      </c>
      <c r="P121" s="3">
        <v>45308</v>
      </c>
      <c r="Q121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7 meses</v>
      </c>
      <c r="R121" s="2" t="s">
        <v>1166</v>
      </c>
      <c r="S121" s="2" t="s">
        <v>1167</v>
      </c>
      <c r="T121" s="2" t="s">
        <v>1176</v>
      </c>
      <c r="U121" s="2" t="s">
        <v>1176</v>
      </c>
    </row>
    <row r="122" spans="1:21">
      <c r="A122" s="2">
        <v>136</v>
      </c>
      <c r="B122" s="2" t="s">
        <v>723</v>
      </c>
      <c r="C122" s="2" t="s">
        <v>108</v>
      </c>
      <c r="D122" s="2" t="s">
        <v>14</v>
      </c>
      <c r="E122" s="5" t="s">
        <v>27</v>
      </c>
      <c r="F122" s="2">
        <v>996896404</v>
      </c>
      <c r="G122" s="2" t="s">
        <v>1160</v>
      </c>
      <c r="H122" s="2" t="s">
        <v>1193</v>
      </c>
      <c r="I122" s="6">
        <v>350182153364601</v>
      </c>
      <c r="J122" s="2" t="s">
        <v>1331</v>
      </c>
      <c r="K122" s="2" t="s">
        <v>108</v>
      </c>
      <c r="L122" s="2" t="s">
        <v>108</v>
      </c>
      <c r="M122" s="2" t="s">
        <v>108</v>
      </c>
      <c r="N122" s="2" t="s">
        <v>108</v>
      </c>
      <c r="O122" s="3">
        <v>46120</v>
      </c>
      <c r="P122" s="2" t="s">
        <v>1332</v>
      </c>
      <c r="Q122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0 años y 4 meses</v>
      </c>
      <c r="R122" s="2" t="s">
        <v>1166</v>
      </c>
      <c r="S122" s="2" t="s">
        <v>1167</v>
      </c>
      <c r="T122" s="2" t="s">
        <v>1168</v>
      </c>
      <c r="U122" s="2" t="s">
        <v>1168</v>
      </c>
    </row>
    <row r="123" spans="1:21">
      <c r="A123" s="2">
        <v>125</v>
      </c>
      <c r="B123" s="2" t="s">
        <v>728</v>
      </c>
      <c r="C123" s="2" t="s">
        <v>108</v>
      </c>
      <c r="D123" s="2" t="s">
        <v>14</v>
      </c>
      <c r="E123" s="5" t="s">
        <v>27</v>
      </c>
      <c r="F123" s="2">
        <v>955460369</v>
      </c>
      <c r="G123" s="2" t="s">
        <v>1160</v>
      </c>
      <c r="H123" s="2" t="s">
        <v>1179</v>
      </c>
      <c r="I123" s="6">
        <v>359104251115793</v>
      </c>
      <c r="J123" s="2" t="s">
        <v>1333</v>
      </c>
      <c r="K123" s="2" t="s">
        <v>108</v>
      </c>
      <c r="L123" s="2" t="s">
        <v>108</v>
      </c>
      <c r="M123" s="2" t="s">
        <v>108</v>
      </c>
      <c r="N123" s="2" t="s">
        <v>108</v>
      </c>
      <c r="O123" s="3">
        <v>45574</v>
      </c>
      <c r="P123" s="3">
        <v>45586</v>
      </c>
      <c r="Q123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10 meses</v>
      </c>
      <c r="R123" s="2" t="s">
        <v>1166</v>
      </c>
      <c r="S123" s="2" t="s">
        <v>1167</v>
      </c>
      <c r="T123" s="2" t="s">
        <v>1176</v>
      </c>
      <c r="U123" s="2" t="s">
        <v>1176</v>
      </c>
    </row>
    <row r="124" spans="1:21">
      <c r="A124" s="2">
        <v>135</v>
      </c>
      <c r="B124" s="2" t="s">
        <v>732</v>
      </c>
      <c r="C124" s="2" t="s">
        <v>108</v>
      </c>
      <c r="D124" s="2" t="s">
        <v>14</v>
      </c>
      <c r="E124" s="5" t="s">
        <v>42</v>
      </c>
      <c r="F124" s="2">
        <v>963764418</v>
      </c>
      <c r="G124" s="2" t="s">
        <v>1160</v>
      </c>
      <c r="H124" s="2" t="s">
        <v>1334</v>
      </c>
      <c r="I124" s="6" t="s">
        <v>1335</v>
      </c>
      <c r="J124" s="2" t="s">
        <v>1336</v>
      </c>
      <c r="K124" s="2" t="s">
        <v>1214</v>
      </c>
      <c r="L124" s="2" t="s">
        <v>1164</v>
      </c>
      <c r="M124" s="2" t="s">
        <v>1215</v>
      </c>
      <c r="N124" s="2" t="s">
        <v>1337</v>
      </c>
      <c r="O124" s="3">
        <v>46112</v>
      </c>
      <c r="P124" s="2" t="s">
        <v>1338</v>
      </c>
      <c r="Q124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0 años y 4 meses</v>
      </c>
      <c r="R124" s="2" t="s">
        <v>1166</v>
      </c>
      <c r="S124" s="2" t="s">
        <v>1167</v>
      </c>
      <c r="T124" s="2" t="s">
        <v>1168</v>
      </c>
      <c r="U124" s="2" t="s">
        <v>1168</v>
      </c>
    </row>
    <row r="125" spans="1:21">
      <c r="A125" s="2">
        <v>126</v>
      </c>
      <c r="B125" s="2" t="s">
        <v>737</v>
      </c>
      <c r="C125" s="2" t="s">
        <v>108</v>
      </c>
      <c r="D125" s="2" t="s">
        <v>14</v>
      </c>
      <c r="E125" s="5" t="s">
        <v>37</v>
      </c>
      <c r="F125" s="2">
        <v>991548581</v>
      </c>
      <c r="G125" s="2" t="s">
        <v>1160</v>
      </c>
      <c r="H125" s="2" t="s">
        <v>1191</v>
      </c>
      <c r="I125" s="6">
        <v>356034165155796</v>
      </c>
      <c r="J125" s="2" t="s">
        <v>1196</v>
      </c>
      <c r="K125" s="2" t="s">
        <v>108</v>
      </c>
      <c r="L125" s="2" t="s">
        <v>108</v>
      </c>
      <c r="M125" s="2" t="s">
        <v>108</v>
      </c>
      <c r="N125" s="2" t="s">
        <v>108</v>
      </c>
      <c r="O125" s="3">
        <v>45966</v>
      </c>
      <c r="P125" s="3">
        <v>46010</v>
      </c>
      <c r="Q125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0 años y 9 meses</v>
      </c>
      <c r="R125" s="2" t="s">
        <v>1166</v>
      </c>
      <c r="S125" s="2" t="s">
        <v>1167</v>
      </c>
      <c r="T125" s="2" t="s">
        <v>1168</v>
      </c>
      <c r="U125" s="2" t="s">
        <v>1168</v>
      </c>
    </row>
    <row r="126" spans="1:21">
      <c r="A126" s="2">
        <v>109</v>
      </c>
      <c r="B126" s="2" t="s">
        <v>1339</v>
      </c>
      <c r="C126" s="2" t="s">
        <v>108</v>
      </c>
      <c r="D126" s="2" t="s">
        <v>14</v>
      </c>
      <c r="E126" s="5" t="s">
        <v>24</v>
      </c>
      <c r="F126" s="2">
        <v>942122263</v>
      </c>
      <c r="G126" s="2" t="s">
        <v>1160</v>
      </c>
      <c r="H126" s="2" t="s">
        <v>1179</v>
      </c>
      <c r="I126" s="6">
        <v>351456832081987</v>
      </c>
      <c r="J126" s="2" t="s">
        <v>1340</v>
      </c>
      <c r="K126" s="2" t="s">
        <v>108</v>
      </c>
      <c r="L126" s="2" t="s">
        <v>108</v>
      </c>
      <c r="M126" s="2" t="s">
        <v>108</v>
      </c>
      <c r="N126" s="2" t="s">
        <v>108</v>
      </c>
      <c r="O126" s="3">
        <v>45630</v>
      </c>
      <c r="P126" s="3">
        <v>45729</v>
      </c>
      <c r="Q126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8 meses</v>
      </c>
      <c r="R126" s="2" t="s">
        <v>1184</v>
      </c>
      <c r="S126" s="2" t="s">
        <v>1266</v>
      </c>
      <c r="T126" s="2" t="s">
        <v>1168</v>
      </c>
      <c r="U126" s="2" t="s">
        <v>1168</v>
      </c>
    </row>
    <row r="127" spans="1:21">
      <c r="A127" s="2">
        <v>128</v>
      </c>
      <c r="B127" s="2" t="s">
        <v>217</v>
      </c>
      <c r="C127" s="2" t="s">
        <v>108</v>
      </c>
      <c r="D127" s="2" t="s">
        <v>14</v>
      </c>
      <c r="E127" s="5" t="s">
        <v>33</v>
      </c>
      <c r="F127" s="2">
        <v>945046961</v>
      </c>
      <c r="G127" s="2" t="s">
        <v>1181</v>
      </c>
      <c r="H127" s="2" t="s">
        <v>1341</v>
      </c>
      <c r="I127" s="6">
        <v>351218523856949</v>
      </c>
      <c r="J127" s="2" t="s">
        <v>1249</v>
      </c>
      <c r="K127" s="2" t="s">
        <v>108</v>
      </c>
      <c r="L127" s="2" t="s">
        <v>108</v>
      </c>
      <c r="M127" s="2" t="s">
        <v>108</v>
      </c>
      <c r="N127" s="2" t="s">
        <v>108</v>
      </c>
      <c r="O127" s="3">
        <v>45758</v>
      </c>
      <c r="P127" s="3">
        <v>45976</v>
      </c>
      <c r="Q127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4 meses</v>
      </c>
      <c r="R127" s="2" t="s">
        <v>1166</v>
      </c>
      <c r="S127" s="2" t="s">
        <v>1291</v>
      </c>
      <c r="T127" s="2" t="s">
        <v>1168</v>
      </c>
      <c r="U127" s="2" t="s">
        <v>1168</v>
      </c>
    </row>
    <row r="128" spans="1:21" ht="29.25">
      <c r="A128" s="2">
        <v>129</v>
      </c>
      <c r="B128" s="2" t="s">
        <v>749</v>
      </c>
      <c r="C128" s="2" t="s">
        <v>108</v>
      </c>
      <c r="D128" s="2" t="s">
        <v>14</v>
      </c>
      <c r="E128" s="5" t="s">
        <v>25</v>
      </c>
      <c r="F128" s="2">
        <v>948942820</v>
      </c>
      <c r="G128" s="2" t="s">
        <v>1160</v>
      </c>
      <c r="H128" s="2" t="s">
        <v>1191</v>
      </c>
      <c r="I128" s="6">
        <v>357269403142722</v>
      </c>
      <c r="J128" s="2" t="s">
        <v>1342</v>
      </c>
      <c r="K128" s="2" t="s">
        <v>108</v>
      </c>
      <c r="L128" s="2" t="s">
        <v>108</v>
      </c>
      <c r="M128" s="2" t="s">
        <v>108</v>
      </c>
      <c r="N128" s="2" t="s">
        <v>108</v>
      </c>
      <c r="O128" s="3">
        <v>45747</v>
      </c>
      <c r="P128" s="3">
        <v>45937</v>
      </c>
      <c r="Q128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4 meses</v>
      </c>
      <c r="R128" s="2" t="s">
        <v>1184</v>
      </c>
      <c r="S128" s="2" t="s">
        <v>1266</v>
      </c>
      <c r="T128" s="2" t="s">
        <v>1168</v>
      </c>
      <c r="U128" s="2" t="s">
        <v>1168</v>
      </c>
    </row>
    <row r="129" spans="1:21">
      <c r="A129" s="2">
        <v>131</v>
      </c>
      <c r="B129" s="2" t="s">
        <v>758</v>
      </c>
      <c r="C129" s="2" t="s">
        <v>108</v>
      </c>
      <c r="D129" s="2" t="s">
        <v>14</v>
      </c>
      <c r="E129" s="5" t="s">
        <v>22</v>
      </c>
      <c r="F129" s="2">
        <v>973211634</v>
      </c>
      <c r="G129" s="2" t="s">
        <v>1160</v>
      </c>
      <c r="H129" s="2" t="s">
        <v>1161</v>
      </c>
      <c r="I129" s="6">
        <v>358785932276565</v>
      </c>
      <c r="J129" s="2" t="s">
        <v>1343</v>
      </c>
      <c r="K129" s="2" t="s">
        <v>108</v>
      </c>
      <c r="L129" s="2" t="s">
        <v>108</v>
      </c>
      <c r="M129" s="2" t="s">
        <v>108</v>
      </c>
      <c r="N129" s="2" t="s">
        <v>108</v>
      </c>
      <c r="O129" s="3">
        <v>44946</v>
      </c>
      <c r="P129" s="3">
        <v>45887</v>
      </c>
      <c r="Q129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6 meses</v>
      </c>
      <c r="R129" s="2" t="s">
        <v>1166</v>
      </c>
      <c r="S129" s="2" t="s">
        <v>1167</v>
      </c>
      <c r="T129" s="2" t="s">
        <v>1176</v>
      </c>
      <c r="U129" s="2" t="s">
        <v>1176</v>
      </c>
    </row>
    <row r="130" spans="1:21">
      <c r="A130" s="2">
        <v>132</v>
      </c>
      <c r="B130" s="2" t="s">
        <v>762</v>
      </c>
      <c r="C130" s="2" t="s">
        <v>108</v>
      </c>
      <c r="D130" s="2" t="s">
        <v>14</v>
      </c>
      <c r="E130" s="5" t="s">
        <v>27</v>
      </c>
      <c r="F130" s="2">
        <v>942115866</v>
      </c>
      <c r="G130" s="2" t="s">
        <v>1160</v>
      </c>
      <c r="H130" s="2" t="s">
        <v>1169</v>
      </c>
      <c r="I130" s="6">
        <v>357494912391335</v>
      </c>
      <c r="J130" s="2" t="s">
        <v>1344</v>
      </c>
      <c r="K130" s="2" t="s">
        <v>108</v>
      </c>
      <c r="L130" s="2" t="s">
        <v>108</v>
      </c>
      <c r="M130" s="2" t="s">
        <v>108</v>
      </c>
      <c r="N130" s="2" t="s">
        <v>108</v>
      </c>
      <c r="O130" s="3">
        <v>45329</v>
      </c>
      <c r="P130" s="3">
        <v>45854</v>
      </c>
      <c r="Q130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6 meses</v>
      </c>
      <c r="R130" s="2" t="s">
        <v>1166</v>
      </c>
      <c r="S130" s="2" t="s">
        <v>1167</v>
      </c>
      <c r="T130" s="2" t="s">
        <v>1176</v>
      </c>
      <c r="U130" s="2" t="s">
        <v>1176</v>
      </c>
    </row>
    <row r="131" spans="1:21">
      <c r="A131" s="2">
        <v>104</v>
      </c>
      <c r="B131" s="2" t="s">
        <v>314</v>
      </c>
      <c r="C131" s="2" t="s">
        <v>108</v>
      </c>
      <c r="D131" s="2" t="s">
        <v>14</v>
      </c>
      <c r="E131" s="5" t="s">
        <v>39</v>
      </c>
      <c r="F131" s="2">
        <v>981569202</v>
      </c>
      <c r="G131" s="2" t="s">
        <v>1160</v>
      </c>
      <c r="H131" s="2" t="s">
        <v>1179</v>
      </c>
      <c r="I131" s="6">
        <v>351456832069875</v>
      </c>
      <c r="J131" s="2" t="s">
        <v>1345</v>
      </c>
      <c r="K131" s="2" t="s">
        <v>108</v>
      </c>
      <c r="L131" s="2" t="s">
        <v>108</v>
      </c>
      <c r="M131" s="2" t="s">
        <v>108</v>
      </c>
      <c r="N131" s="2" t="s">
        <v>108</v>
      </c>
      <c r="O131" s="3">
        <v>45440</v>
      </c>
      <c r="P131" s="3">
        <v>45678</v>
      </c>
      <c r="Q131" s="2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2 meses</v>
      </c>
      <c r="R131" s="2" t="s">
        <v>1166</v>
      </c>
      <c r="S131" s="2" t="s">
        <v>1167</v>
      </c>
      <c r="T131" s="2" t="s">
        <v>1168</v>
      </c>
      <c r="U131" s="2" t="s">
        <v>1168</v>
      </c>
    </row>
    <row r="132" spans="1:21">
      <c r="A132" s="8">
        <v>130</v>
      </c>
      <c r="B132" s="8" t="s">
        <v>11</v>
      </c>
      <c r="C132" s="8" t="s">
        <v>754</v>
      </c>
      <c r="D132" s="8" t="s">
        <v>14</v>
      </c>
      <c r="E132" s="9" t="s">
        <v>27</v>
      </c>
      <c r="F132" s="8">
        <v>977597543</v>
      </c>
      <c r="G132" s="8" t="s">
        <v>1160</v>
      </c>
      <c r="H132" s="8" t="s">
        <v>1223</v>
      </c>
      <c r="I132" s="10">
        <v>352396400115883</v>
      </c>
      <c r="J132" s="8" t="s">
        <v>1346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11">
        <v>44946</v>
      </c>
      <c r="P132" s="11">
        <v>45950</v>
      </c>
      <c r="Q132" s="8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6 meses</v>
      </c>
      <c r="R132" s="8" t="s">
        <v>1166</v>
      </c>
      <c r="S132" s="8" t="s">
        <v>1167</v>
      </c>
      <c r="T132" s="8" t="s">
        <v>1176</v>
      </c>
      <c r="U132" s="8" t="s">
        <v>1176</v>
      </c>
    </row>
    <row r="133" spans="1:21">
      <c r="A133" s="8">
        <v>37</v>
      </c>
      <c r="B133" s="8" t="s">
        <v>11</v>
      </c>
      <c r="C133" s="8" t="s">
        <v>314</v>
      </c>
      <c r="D133" s="8" t="s">
        <v>14</v>
      </c>
      <c r="E133" s="9" t="s">
        <v>39</v>
      </c>
      <c r="F133" s="8" t="s">
        <v>108</v>
      </c>
      <c r="G133" s="8" t="s">
        <v>1160</v>
      </c>
      <c r="H133" s="8" t="s">
        <v>1179</v>
      </c>
      <c r="I133" s="10">
        <v>351456832077944</v>
      </c>
      <c r="J133" s="8" t="s">
        <v>1347</v>
      </c>
      <c r="K133" s="8" t="s">
        <v>108</v>
      </c>
      <c r="L133" s="8" t="s">
        <v>108</v>
      </c>
      <c r="M133" s="8" t="s">
        <v>108</v>
      </c>
      <c r="N133" s="8" t="s">
        <v>108</v>
      </c>
      <c r="O133" s="11">
        <v>45673</v>
      </c>
      <c r="P133" s="11">
        <v>45903</v>
      </c>
      <c r="Q133" s="8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6 meses</v>
      </c>
      <c r="R133" s="8" t="s">
        <v>1184</v>
      </c>
      <c r="S133" s="8" t="s">
        <v>1266</v>
      </c>
      <c r="T133" s="8" t="s">
        <v>1168</v>
      </c>
      <c r="U133" s="8" t="s">
        <v>1168</v>
      </c>
    </row>
    <row r="134" spans="1:21">
      <c r="A134" s="8">
        <v>53</v>
      </c>
      <c r="B134" s="16" t="s">
        <v>1348</v>
      </c>
      <c r="C134" s="8" t="s">
        <v>396</v>
      </c>
      <c r="D134" s="8" t="s">
        <v>14</v>
      </c>
      <c r="E134" s="9" t="s">
        <v>42</v>
      </c>
      <c r="F134" s="8">
        <v>945287867</v>
      </c>
      <c r="G134" s="8" t="s">
        <v>1160</v>
      </c>
      <c r="H134" s="8" t="s">
        <v>1179</v>
      </c>
      <c r="I134" s="10">
        <v>359104251115389</v>
      </c>
      <c r="J134" s="8" t="s">
        <v>1349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11">
        <v>45574</v>
      </c>
      <c r="P134" s="11">
        <v>45594</v>
      </c>
      <c r="Q134" s="8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10 meses</v>
      </c>
      <c r="R134" s="8" t="s">
        <v>1166</v>
      </c>
      <c r="S134" s="8" t="s">
        <v>1167</v>
      </c>
      <c r="T134" s="8" t="s">
        <v>1168</v>
      </c>
      <c r="U134" s="8" t="s">
        <v>1168</v>
      </c>
    </row>
    <row r="135" spans="1:21">
      <c r="A135" s="8">
        <v>1</v>
      </c>
      <c r="B135" s="16" t="s">
        <v>1350</v>
      </c>
      <c r="C135" s="8" t="s">
        <v>95</v>
      </c>
      <c r="D135" s="8" t="s">
        <v>14</v>
      </c>
      <c r="E135" s="9" t="s">
        <v>24</v>
      </c>
      <c r="F135" s="8">
        <v>965722676</v>
      </c>
      <c r="G135" s="8" t="s">
        <v>1160</v>
      </c>
      <c r="H135" s="8" t="s">
        <v>1223</v>
      </c>
      <c r="I135" s="10">
        <v>356263315570071</v>
      </c>
      <c r="J135" s="8" t="s">
        <v>1351</v>
      </c>
      <c r="K135" s="8" t="s">
        <v>1163</v>
      </c>
      <c r="L135" s="8" t="s">
        <v>1164</v>
      </c>
      <c r="M135" s="8" t="s">
        <v>1165</v>
      </c>
      <c r="N135" s="8" t="s">
        <v>1216</v>
      </c>
      <c r="O135" s="11">
        <v>44946</v>
      </c>
      <c r="P135" s="11">
        <v>45697</v>
      </c>
      <c r="Q135" s="8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6 meses</v>
      </c>
      <c r="R135" s="8" t="s">
        <v>1166</v>
      </c>
      <c r="S135" s="8" t="s">
        <v>1167</v>
      </c>
      <c r="T135" s="8" t="s">
        <v>1168</v>
      </c>
      <c r="U135" s="8" t="s">
        <v>1168</v>
      </c>
    </row>
    <row r="136" spans="1:21">
      <c r="A136" s="8">
        <v>42</v>
      </c>
      <c r="B136" s="16" t="s">
        <v>11</v>
      </c>
      <c r="C136" s="16" t="s">
        <v>341</v>
      </c>
      <c r="D136" s="8" t="s">
        <v>14</v>
      </c>
      <c r="E136" s="9" t="s">
        <v>27</v>
      </c>
      <c r="F136" s="8" t="s">
        <v>108</v>
      </c>
      <c r="G136" s="8" t="s">
        <v>1160</v>
      </c>
      <c r="H136" s="8" t="s">
        <v>1210</v>
      </c>
      <c r="I136" s="10">
        <v>358055380516973</v>
      </c>
      <c r="J136" s="8" t="s">
        <v>1352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11">
        <v>45015</v>
      </c>
      <c r="P136" s="11">
        <v>45964</v>
      </c>
      <c r="Q136" s="8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4 meses</v>
      </c>
      <c r="R136" s="8" t="s">
        <v>1166</v>
      </c>
      <c r="S136" s="8" t="s">
        <v>1167</v>
      </c>
      <c r="T136" s="8" t="s">
        <v>1176</v>
      </c>
      <c r="U136" s="8" t="s">
        <v>1176</v>
      </c>
    </row>
    <row r="137" spans="1:21">
      <c r="A137" s="8">
        <v>112</v>
      </c>
      <c r="B137" s="8" t="s">
        <v>11</v>
      </c>
      <c r="C137" s="8" t="s">
        <v>300</v>
      </c>
      <c r="D137" s="8" t="s">
        <v>14</v>
      </c>
      <c r="E137" s="9" t="s">
        <v>27</v>
      </c>
      <c r="F137" s="8" t="s">
        <v>108</v>
      </c>
      <c r="G137" s="8" t="s">
        <v>1160</v>
      </c>
      <c r="H137" s="8" t="s">
        <v>1223</v>
      </c>
      <c r="I137" s="10">
        <v>356263315573695</v>
      </c>
      <c r="J137" s="8" t="s">
        <v>1278</v>
      </c>
      <c r="K137" s="8" t="s">
        <v>1163</v>
      </c>
      <c r="L137" s="8" t="s">
        <v>108</v>
      </c>
      <c r="M137" s="8" t="s">
        <v>108</v>
      </c>
      <c r="N137" s="8" t="s">
        <v>108</v>
      </c>
      <c r="O137" s="11">
        <v>44946</v>
      </c>
      <c r="P137" s="11">
        <v>45751</v>
      </c>
      <c r="Q137" s="8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6 meses</v>
      </c>
      <c r="R137" s="8" t="s">
        <v>1166</v>
      </c>
      <c r="S137" s="8" t="s">
        <v>1167</v>
      </c>
      <c r="T137" s="8" t="s">
        <v>1176</v>
      </c>
      <c r="U137" s="8" t="s">
        <v>1176</v>
      </c>
    </row>
    <row r="138" spans="1:21">
      <c r="A138" s="8">
        <v>74</v>
      </c>
      <c r="B138" s="8" t="s">
        <v>11</v>
      </c>
      <c r="C138" s="8" t="s">
        <v>494</v>
      </c>
      <c r="D138" s="8" t="s">
        <v>14</v>
      </c>
      <c r="E138" s="9" t="s">
        <v>27</v>
      </c>
      <c r="F138" s="8">
        <v>905433778</v>
      </c>
      <c r="G138" s="8" t="s">
        <v>1160</v>
      </c>
      <c r="H138" s="8" t="s">
        <v>1161</v>
      </c>
      <c r="I138" s="10">
        <v>358785932281771</v>
      </c>
      <c r="J138" s="8" t="s">
        <v>1353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11">
        <v>45338</v>
      </c>
      <c r="P138" s="11">
        <v>45852</v>
      </c>
      <c r="Q138" s="8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2 años y 5 meses</v>
      </c>
      <c r="R138" s="8" t="s">
        <v>1166</v>
      </c>
      <c r="S138" s="8" t="s">
        <v>1167</v>
      </c>
      <c r="T138" s="8" t="s">
        <v>1176</v>
      </c>
      <c r="U138" s="8" t="s">
        <v>1176</v>
      </c>
    </row>
    <row r="139" spans="1:21">
      <c r="A139" s="8">
        <v>139</v>
      </c>
      <c r="B139" s="8" t="s">
        <v>11</v>
      </c>
      <c r="C139" s="8" t="s">
        <v>230</v>
      </c>
      <c r="D139" s="16" t="s">
        <v>15</v>
      </c>
      <c r="E139" s="9" t="s">
        <v>27</v>
      </c>
      <c r="F139" s="8">
        <v>933348147</v>
      </c>
      <c r="G139" s="8" t="s">
        <v>108</v>
      </c>
      <c r="H139" s="8" t="s">
        <v>108</v>
      </c>
      <c r="I139" s="10" t="s">
        <v>108</v>
      </c>
      <c r="J139" s="8" t="s">
        <v>108</v>
      </c>
      <c r="K139" s="8" t="s">
        <v>108</v>
      </c>
      <c r="L139" s="8" t="s">
        <v>108</v>
      </c>
      <c r="M139" s="8" t="s">
        <v>108</v>
      </c>
      <c r="N139" s="8" t="s">
        <v>108</v>
      </c>
      <c r="O139" s="11">
        <v>45118</v>
      </c>
      <c r="P139" s="11">
        <v>45971</v>
      </c>
      <c r="Q139" s="8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3 años y 1 mes</v>
      </c>
      <c r="R139" s="8" t="s">
        <v>1166</v>
      </c>
      <c r="S139" s="8" t="s">
        <v>1167</v>
      </c>
      <c r="T139" s="8" t="s">
        <v>1176</v>
      </c>
      <c r="U139" s="8" t="s">
        <v>1176</v>
      </c>
    </row>
    <row r="140" spans="1:21">
      <c r="A140" s="8">
        <v>140</v>
      </c>
      <c r="B140" s="8" t="s">
        <v>11</v>
      </c>
      <c r="C140" s="8" t="s">
        <v>320</v>
      </c>
      <c r="D140" s="8" t="s">
        <v>14</v>
      </c>
      <c r="E140" s="9" t="s">
        <v>42</v>
      </c>
      <c r="F140" s="8" t="s">
        <v>108</v>
      </c>
      <c r="G140" s="8" t="s">
        <v>1181</v>
      </c>
      <c r="H140" s="8" t="s">
        <v>1354</v>
      </c>
      <c r="I140" s="10">
        <v>353241895946039</v>
      </c>
      <c r="J140" s="8" t="s">
        <v>108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 t="s">
        <v>108</v>
      </c>
      <c r="P140" s="11">
        <v>44428</v>
      </c>
      <c r="Q140" s="8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-</v>
      </c>
      <c r="R140" s="8" t="s">
        <v>108</v>
      </c>
      <c r="S140" s="8" t="s">
        <v>108</v>
      </c>
      <c r="T140" s="8" t="s">
        <v>1168</v>
      </c>
      <c r="U140" s="8" t="s">
        <v>1168</v>
      </c>
    </row>
    <row r="141" spans="1:21">
      <c r="A141" s="8">
        <v>143</v>
      </c>
      <c r="B141" s="8" t="s">
        <v>11</v>
      </c>
      <c r="C141" s="8" t="s">
        <v>1355</v>
      </c>
      <c r="D141" s="16" t="s">
        <v>15</v>
      </c>
      <c r="E141" s="9" t="s">
        <v>27</v>
      </c>
      <c r="F141" s="8">
        <v>987864336</v>
      </c>
      <c r="G141" s="8" t="s">
        <v>108</v>
      </c>
      <c r="H141" s="8" t="s">
        <v>108</v>
      </c>
      <c r="I141" s="10" t="s">
        <v>108</v>
      </c>
      <c r="J141" s="8" t="s">
        <v>108</v>
      </c>
      <c r="K141" s="8" t="s">
        <v>108</v>
      </c>
      <c r="L141" s="8" t="s">
        <v>108</v>
      </c>
      <c r="M141" s="8" t="s">
        <v>108</v>
      </c>
      <c r="N141" s="8" t="s">
        <v>108</v>
      </c>
      <c r="O141" s="8" t="s">
        <v>108</v>
      </c>
      <c r="P141" s="8" t="s">
        <v>108</v>
      </c>
      <c r="Q141" s="8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-</v>
      </c>
      <c r="R141" s="8" t="s">
        <v>1166</v>
      </c>
      <c r="S141" s="8" t="s">
        <v>1167</v>
      </c>
      <c r="T141" s="8" t="s">
        <v>1176</v>
      </c>
      <c r="U141" s="8" t="s">
        <v>1176</v>
      </c>
    </row>
    <row r="142" spans="1:21">
      <c r="A142" s="8">
        <v>146</v>
      </c>
      <c r="B142" s="8" t="s">
        <v>11</v>
      </c>
      <c r="C142" s="8" t="s">
        <v>1356</v>
      </c>
      <c r="D142" s="16" t="s">
        <v>15</v>
      </c>
      <c r="E142" s="9" t="s">
        <v>27</v>
      </c>
      <c r="F142" s="8">
        <v>943566297</v>
      </c>
      <c r="G142" s="8" t="s">
        <v>108</v>
      </c>
      <c r="H142" s="8" t="s">
        <v>108</v>
      </c>
      <c r="I142" s="10" t="s">
        <v>108</v>
      </c>
      <c r="J142" s="8" t="s">
        <v>108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 t="s">
        <v>108</v>
      </c>
      <c r="P142" s="8" t="s">
        <v>108</v>
      </c>
      <c r="Q142" s="8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-</v>
      </c>
      <c r="R142" s="8" t="s">
        <v>1166</v>
      </c>
      <c r="S142" s="8" t="s">
        <v>1167</v>
      </c>
      <c r="T142" s="8" t="s">
        <v>1176</v>
      </c>
      <c r="U142" s="8" t="s">
        <v>1176</v>
      </c>
    </row>
    <row r="143" spans="1:21">
      <c r="A143" s="8">
        <v>122</v>
      </c>
      <c r="B143" s="8" t="s">
        <v>11</v>
      </c>
      <c r="C143" s="8" t="s">
        <v>715</v>
      </c>
      <c r="D143" s="16" t="s">
        <v>15</v>
      </c>
      <c r="E143" s="9" t="s">
        <v>27</v>
      </c>
      <c r="F143" s="8">
        <v>924891733</v>
      </c>
      <c r="G143" s="8" t="s">
        <v>108</v>
      </c>
      <c r="H143" s="8" t="s">
        <v>108</v>
      </c>
      <c r="I143" s="8" t="s">
        <v>108</v>
      </c>
      <c r="J143" s="8" t="s">
        <v>108</v>
      </c>
      <c r="K143" s="8" t="s">
        <v>108</v>
      </c>
      <c r="L143" s="8" t="s">
        <v>108</v>
      </c>
      <c r="M143" s="8" t="s">
        <v>108</v>
      </c>
      <c r="N143" s="8" t="s">
        <v>108</v>
      </c>
      <c r="O143" s="11" t="s">
        <v>108</v>
      </c>
      <c r="P143" s="11" t="s">
        <v>108</v>
      </c>
      <c r="Q143" s="8" t="s">
        <v>108</v>
      </c>
      <c r="R143" s="8" t="s">
        <v>1166</v>
      </c>
      <c r="S143" s="8" t="s">
        <v>1167</v>
      </c>
      <c r="T143" s="8" t="s">
        <v>1176</v>
      </c>
      <c r="U143" s="8" t="s">
        <v>1176</v>
      </c>
    </row>
    <row r="144" spans="1:21">
      <c r="A144" s="8">
        <v>149</v>
      </c>
      <c r="B144" s="8" t="s">
        <v>11</v>
      </c>
      <c r="C144" s="8" t="s">
        <v>217</v>
      </c>
      <c r="D144" s="8" t="s">
        <v>14</v>
      </c>
      <c r="E144" s="9" t="s">
        <v>42</v>
      </c>
      <c r="F144" s="8" t="s">
        <v>108</v>
      </c>
      <c r="G144" s="8" t="s">
        <v>1181</v>
      </c>
      <c r="H144" s="8" t="s">
        <v>1357</v>
      </c>
      <c r="I144" s="10">
        <v>356696722712598</v>
      </c>
      <c r="J144" s="8" t="s">
        <v>108</v>
      </c>
      <c r="K144" s="8" t="s">
        <v>1163</v>
      </c>
      <c r="L144" s="8" t="s">
        <v>108</v>
      </c>
      <c r="M144" s="8" t="s">
        <v>108</v>
      </c>
      <c r="N144" s="8" t="s">
        <v>108</v>
      </c>
      <c r="O144" s="8" t="s">
        <v>108</v>
      </c>
      <c r="P144" s="11">
        <v>44302</v>
      </c>
      <c r="Q144" s="8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-</v>
      </c>
      <c r="R144" s="8" t="s">
        <v>108</v>
      </c>
      <c r="S144" s="8" t="s">
        <v>108</v>
      </c>
      <c r="T144" s="8" t="s">
        <v>1168</v>
      </c>
      <c r="U144" s="8" t="s">
        <v>1168</v>
      </c>
    </row>
    <row r="145" spans="1:21">
      <c r="A145" s="8">
        <v>150</v>
      </c>
      <c r="B145" s="8" t="s">
        <v>11</v>
      </c>
      <c r="C145" s="8" t="s">
        <v>1358</v>
      </c>
      <c r="D145" s="16" t="s">
        <v>15</v>
      </c>
      <c r="E145" s="9" t="s">
        <v>27</v>
      </c>
      <c r="F145" s="8">
        <v>926953535</v>
      </c>
      <c r="G145" s="8" t="s">
        <v>108</v>
      </c>
      <c r="H145" s="8" t="s">
        <v>108</v>
      </c>
      <c r="I145" s="10" t="s">
        <v>108</v>
      </c>
      <c r="J145" s="8" t="s">
        <v>108</v>
      </c>
      <c r="K145" s="8" t="s">
        <v>108</v>
      </c>
      <c r="L145" s="8" t="s">
        <v>108</v>
      </c>
      <c r="M145" s="8" t="s">
        <v>108</v>
      </c>
      <c r="N145" s="8" t="s">
        <v>108</v>
      </c>
      <c r="O145" s="8" t="s">
        <v>108</v>
      </c>
      <c r="P145" s="8" t="s">
        <v>108</v>
      </c>
      <c r="Q145" s="8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-</v>
      </c>
      <c r="R145" s="8" t="s">
        <v>1166</v>
      </c>
      <c r="S145" s="8" t="s">
        <v>1167</v>
      </c>
      <c r="T145" s="8" t="s">
        <v>1176</v>
      </c>
      <c r="U145" s="8" t="s">
        <v>1176</v>
      </c>
    </row>
    <row r="146" spans="1:21" ht="29.25">
      <c r="A146" s="8">
        <v>109</v>
      </c>
      <c r="B146" s="8" t="s">
        <v>11</v>
      </c>
      <c r="C146" s="8" t="s">
        <v>650</v>
      </c>
      <c r="D146" s="16" t="s">
        <v>15</v>
      </c>
      <c r="E146" s="9" t="s">
        <v>25</v>
      </c>
      <c r="F146" s="8">
        <v>996896403</v>
      </c>
      <c r="G146" s="8" t="s">
        <v>1160</v>
      </c>
      <c r="H146" s="8" t="s">
        <v>1179</v>
      </c>
      <c r="I146" s="10">
        <v>351456832081987</v>
      </c>
      <c r="J146" s="8" t="s">
        <v>1340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11">
        <v>45630</v>
      </c>
      <c r="P146" s="11">
        <v>45729</v>
      </c>
      <c r="Q146" s="8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1 año y 8 meses</v>
      </c>
      <c r="R146" s="8" t="s">
        <v>1184</v>
      </c>
      <c r="S146" s="8" t="s">
        <v>1266</v>
      </c>
      <c r="T146" s="8" t="s">
        <v>1168</v>
      </c>
      <c r="U146" s="8" t="s">
        <v>1168</v>
      </c>
    </row>
    <row r="147" spans="1:21" s="74" customFormat="1">
      <c r="A147" s="8">
        <v>110</v>
      </c>
      <c r="B147" s="8" t="s">
        <v>11</v>
      </c>
      <c r="C147" s="8" t="s">
        <v>375</v>
      </c>
      <c r="D147" s="16" t="s">
        <v>15</v>
      </c>
      <c r="E147" s="9" t="s">
        <v>22</v>
      </c>
      <c r="F147" s="9">
        <v>994113757</v>
      </c>
      <c r="G147" s="8" t="s">
        <v>108</v>
      </c>
      <c r="H147" s="8" t="s">
        <v>108</v>
      </c>
      <c r="I147" s="8" t="s">
        <v>108</v>
      </c>
      <c r="J147" s="8" t="s">
        <v>108</v>
      </c>
      <c r="K147" s="8" t="s">
        <v>108</v>
      </c>
      <c r="L147" s="8" t="s">
        <v>108</v>
      </c>
      <c r="M147" s="8" t="s">
        <v>108</v>
      </c>
      <c r="N147" s="8" t="s">
        <v>108</v>
      </c>
      <c r="O147" s="11" t="s">
        <v>108</v>
      </c>
      <c r="P147" s="11" t="s">
        <v>108</v>
      </c>
      <c r="Q147" s="8" t="s">
        <v>108</v>
      </c>
      <c r="R147" s="8" t="s">
        <v>1166</v>
      </c>
      <c r="S147" s="8" t="s">
        <v>1167</v>
      </c>
      <c r="T147" s="8" t="s">
        <v>1168</v>
      </c>
      <c r="U147" s="8" t="s">
        <v>1168</v>
      </c>
    </row>
    <row r="148" spans="1:21">
      <c r="A148" s="8">
        <v>104</v>
      </c>
      <c r="B148" s="8" t="s">
        <v>11</v>
      </c>
      <c r="C148" s="8" t="s">
        <v>627</v>
      </c>
      <c r="D148" s="16" t="s">
        <v>15</v>
      </c>
      <c r="E148" s="9" t="s">
        <v>30</v>
      </c>
      <c r="F148" s="8">
        <v>938635666</v>
      </c>
      <c r="G148" s="8" t="s">
        <v>108</v>
      </c>
      <c r="H148" s="8" t="s">
        <v>108</v>
      </c>
      <c r="I148" s="8" t="s">
        <v>108</v>
      </c>
      <c r="J148" s="8" t="s">
        <v>108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 t="s">
        <v>108</v>
      </c>
      <c r="P148" s="8" t="s">
        <v>108</v>
      </c>
      <c r="Q148" s="8" t="str">
        <f ca="1">IF(Tabla1[[#This Row],[FECHA DE COMPRA CEL]]="","-",IFERROR(DATEDIF(Tabla1[[#This Row],[FECHA DE COMPRA CEL]],TODAY(),"Y")&amp; " " &amp;
    IF(DATEDIF(Tabla1[[#This Row],[FECHA DE COMPRA CEL]],TODAY(),"Y")=1,"año","años")&amp;
    " y " &amp;
    DATEDIF(Tabla1[[#This Row],[FECHA DE COMPRA CEL]],TODAY(),"YM")&amp; " " &amp;
    IF(DATEDIF(Tabla1[[#This Row],[FECHA DE COMPRA CEL]],TODAY(),"YM")=1,"mes","meses"),"-"))</f>
        <v>-</v>
      </c>
      <c r="R148" s="8" t="s">
        <v>1166</v>
      </c>
      <c r="S148" s="8" t="s">
        <v>1167</v>
      </c>
      <c r="T148" s="8" t="s">
        <v>1168</v>
      </c>
      <c r="U148" s="8" t="s">
        <v>1168</v>
      </c>
    </row>
    <row r="150" spans="1:21">
      <c r="A150" s="40"/>
      <c r="B150" s="40"/>
      <c r="C150" s="40"/>
      <c r="D150" s="40"/>
      <c r="E150" s="41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1076-D197-42EA-BFD8-C840A30F9D89}">
  <dimension ref="A1:W172"/>
  <sheetViews>
    <sheetView tabSelected="1" topLeftCell="O57" zoomScaleNormal="100" zoomScaleSheetLayoutView="70" workbookViewId="0">
      <selection activeCell="A76" sqref="A76:W76"/>
    </sheetView>
  </sheetViews>
  <sheetFormatPr defaultColWidth="11.42578125" defaultRowHeight="15"/>
  <cols>
    <col min="1" max="1" width="7.5703125" customWidth="1"/>
    <col min="2" max="2" width="22.28515625" customWidth="1"/>
    <col min="3" max="4" width="27.7109375" style="4" customWidth="1"/>
    <col min="5" max="5" width="18.5703125" customWidth="1"/>
    <col min="6" max="6" width="25.85546875" style="4" customWidth="1"/>
    <col min="7" max="7" width="20.7109375" customWidth="1"/>
    <col min="8" max="8" width="12" customWidth="1"/>
    <col min="9" max="9" width="29" customWidth="1"/>
    <col min="10" max="10" width="14.140625" customWidth="1"/>
    <col min="11" max="11" width="20" customWidth="1"/>
    <col min="12" max="12" width="18.85546875" customWidth="1"/>
    <col min="13" max="13" width="12" customWidth="1"/>
    <col min="14" max="14" width="8.5703125" customWidth="1"/>
    <col min="15" max="15" width="15.5703125" customWidth="1"/>
    <col min="16" max="16" width="13.140625" customWidth="1"/>
    <col min="17" max="17" width="11.42578125" customWidth="1"/>
    <col min="18" max="18" width="33.28515625" customWidth="1"/>
    <col min="19" max="19" width="19.85546875" customWidth="1"/>
    <col min="20" max="20" width="43.140625" customWidth="1"/>
    <col min="21" max="21" width="18.42578125" style="1" customWidth="1"/>
    <col min="22" max="22" width="16.85546875" customWidth="1"/>
    <col min="23" max="23" width="17.28515625" customWidth="1"/>
  </cols>
  <sheetData>
    <row r="1" spans="1:23" s="19" customFormat="1" ht="36">
      <c r="A1" s="18" t="s">
        <v>82</v>
      </c>
      <c r="B1" s="18" t="s">
        <v>1359</v>
      </c>
      <c r="C1" s="18" t="s">
        <v>48</v>
      </c>
      <c r="D1" s="18" t="s">
        <v>1143</v>
      </c>
      <c r="E1" s="18" t="s">
        <v>1360</v>
      </c>
      <c r="F1" s="18" t="s">
        <v>87</v>
      </c>
      <c r="G1" s="18" t="s">
        <v>1361</v>
      </c>
      <c r="H1" s="18" t="s">
        <v>1146</v>
      </c>
      <c r="I1" s="18" t="s">
        <v>1147</v>
      </c>
      <c r="J1" s="18" t="s">
        <v>1362</v>
      </c>
      <c r="K1" s="18" t="s">
        <v>1363</v>
      </c>
      <c r="L1" s="18" t="s">
        <v>1364</v>
      </c>
      <c r="M1" s="18" t="s">
        <v>1365</v>
      </c>
      <c r="N1" s="18" t="s">
        <v>1366</v>
      </c>
      <c r="O1" s="18" t="s">
        <v>1367</v>
      </c>
      <c r="P1" s="18" t="s">
        <v>1368</v>
      </c>
      <c r="Q1" s="18" t="s">
        <v>1369</v>
      </c>
      <c r="R1" s="18" t="s">
        <v>1370</v>
      </c>
      <c r="S1" s="18" t="s">
        <v>1152</v>
      </c>
      <c r="T1" s="18" t="s">
        <v>1371</v>
      </c>
      <c r="U1" s="23" t="s">
        <v>1372</v>
      </c>
      <c r="V1" s="18" t="s">
        <v>1155</v>
      </c>
      <c r="W1" s="18" t="s">
        <v>19</v>
      </c>
    </row>
    <row r="2" spans="1:23">
      <c r="A2" s="2">
        <v>8</v>
      </c>
      <c r="B2" s="2" t="s">
        <v>1373</v>
      </c>
      <c r="C2" s="5" t="s">
        <v>104</v>
      </c>
      <c r="D2" s="5" t="s">
        <v>108</v>
      </c>
      <c r="E2" s="2" t="s">
        <v>51</v>
      </c>
      <c r="F2" s="5" t="s">
        <v>25</v>
      </c>
      <c r="G2" s="2" t="s">
        <v>1374</v>
      </c>
      <c r="H2" s="2" t="s">
        <v>64</v>
      </c>
      <c r="I2" s="2" t="s">
        <v>1375</v>
      </c>
      <c r="J2" s="2" t="s">
        <v>1376</v>
      </c>
      <c r="K2" s="2" t="s">
        <v>1377</v>
      </c>
      <c r="L2" s="2" t="s">
        <v>1378</v>
      </c>
      <c r="M2" s="2" t="s">
        <v>108</v>
      </c>
      <c r="N2" s="2">
        <v>16</v>
      </c>
      <c r="O2" s="2" t="s">
        <v>1379</v>
      </c>
      <c r="P2" s="2" t="s">
        <v>1380</v>
      </c>
      <c r="Q2" s="2" t="s">
        <v>1381</v>
      </c>
      <c r="R2" s="2" t="s">
        <v>1382</v>
      </c>
      <c r="S2" s="2" t="s">
        <v>1383</v>
      </c>
      <c r="T2" s="2" t="s">
        <v>108</v>
      </c>
      <c r="U2" s="3">
        <v>43676</v>
      </c>
      <c r="V2" s="3">
        <v>46091</v>
      </c>
      <c r="W2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7 años y 0 meses</v>
      </c>
    </row>
    <row r="3" spans="1:23">
      <c r="A3" s="2">
        <v>4</v>
      </c>
      <c r="B3" s="2" t="s">
        <v>1384</v>
      </c>
      <c r="C3" s="5" t="s">
        <v>111</v>
      </c>
      <c r="D3" s="5" t="s">
        <v>108</v>
      </c>
      <c r="E3" s="2" t="s">
        <v>51</v>
      </c>
      <c r="F3" s="5" t="s">
        <v>28</v>
      </c>
      <c r="G3" s="2" t="s">
        <v>1385</v>
      </c>
      <c r="H3" s="2" t="s">
        <v>1386</v>
      </c>
      <c r="I3" s="2" t="s">
        <v>1387</v>
      </c>
      <c r="J3" s="2" t="s">
        <v>1388</v>
      </c>
      <c r="K3" s="2" t="s">
        <v>1377</v>
      </c>
      <c r="L3" s="2" t="s">
        <v>1389</v>
      </c>
      <c r="M3" s="2" t="s">
        <v>1390</v>
      </c>
      <c r="N3" s="2">
        <v>48</v>
      </c>
      <c r="O3" s="2" t="s">
        <v>1391</v>
      </c>
      <c r="P3" s="2" t="s">
        <v>1380</v>
      </c>
      <c r="Q3" s="2" t="s">
        <v>1381</v>
      </c>
      <c r="R3" s="2" t="s">
        <v>1382</v>
      </c>
      <c r="S3" s="2" t="s">
        <v>1392</v>
      </c>
      <c r="T3" s="2" t="s">
        <v>1393</v>
      </c>
      <c r="U3" s="3">
        <v>44579</v>
      </c>
      <c r="V3" s="3">
        <v>45940</v>
      </c>
      <c r="W3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4 años y 6 meses</v>
      </c>
    </row>
    <row r="4" spans="1:23">
      <c r="A4" s="2">
        <v>5</v>
      </c>
      <c r="B4" s="2" t="s">
        <v>1394</v>
      </c>
      <c r="C4" s="5" t="s">
        <v>117</v>
      </c>
      <c r="D4" s="5" t="s">
        <v>108</v>
      </c>
      <c r="E4" s="2" t="s">
        <v>51</v>
      </c>
      <c r="F4" s="5" t="s">
        <v>28</v>
      </c>
      <c r="G4" s="2" t="s">
        <v>1395</v>
      </c>
      <c r="H4" s="2" t="s">
        <v>1386</v>
      </c>
      <c r="I4" s="2" t="s">
        <v>1396</v>
      </c>
      <c r="J4" s="2" t="s">
        <v>1397</v>
      </c>
      <c r="K4" s="2" t="s">
        <v>1398</v>
      </c>
      <c r="L4" s="2" t="s">
        <v>1399</v>
      </c>
      <c r="M4" s="2" t="s">
        <v>1400</v>
      </c>
      <c r="N4" s="2">
        <v>32</v>
      </c>
      <c r="O4" s="2" t="s">
        <v>1379</v>
      </c>
      <c r="P4" s="2" t="s">
        <v>1380</v>
      </c>
      <c r="Q4" s="2" t="s">
        <v>1381</v>
      </c>
      <c r="R4" s="2" t="s">
        <v>1382</v>
      </c>
      <c r="S4" s="2" t="s">
        <v>1401</v>
      </c>
      <c r="T4" s="2" t="s">
        <v>1402</v>
      </c>
      <c r="U4" s="3">
        <v>44851</v>
      </c>
      <c r="V4" s="3">
        <v>46092</v>
      </c>
      <c r="W4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3 años y 9 meses</v>
      </c>
    </row>
    <row r="5" spans="1:23">
      <c r="A5" s="2">
        <v>164</v>
      </c>
      <c r="B5" s="2" t="s">
        <v>1403</v>
      </c>
      <c r="C5" s="5" t="s">
        <v>1404</v>
      </c>
      <c r="D5" s="5" t="s">
        <v>108</v>
      </c>
      <c r="E5" s="2" t="s">
        <v>51</v>
      </c>
      <c r="F5" s="5" t="s">
        <v>25</v>
      </c>
      <c r="G5" s="2" t="s">
        <v>1405</v>
      </c>
      <c r="H5" s="2" t="s">
        <v>64</v>
      </c>
      <c r="I5" s="2" t="s">
        <v>1375</v>
      </c>
      <c r="J5" s="2" t="s">
        <v>1406</v>
      </c>
      <c r="K5" s="2" t="s">
        <v>1377</v>
      </c>
      <c r="L5" s="2" t="s">
        <v>1378</v>
      </c>
      <c r="M5" s="2" t="s">
        <v>108</v>
      </c>
      <c r="N5" s="2">
        <v>16</v>
      </c>
      <c r="O5" s="2" t="s">
        <v>1379</v>
      </c>
      <c r="P5" s="2" t="s">
        <v>1380</v>
      </c>
      <c r="Q5" s="2" t="s">
        <v>1381</v>
      </c>
      <c r="R5" s="2" t="s">
        <v>1382</v>
      </c>
      <c r="S5" s="2" t="s">
        <v>1407</v>
      </c>
      <c r="T5" s="2" t="s">
        <v>1408</v>
      </c>
      <c r="U5" s="3">
        <v>43340</v>
      </c>
      <c r="V5" s="3">
        <v>45917</v>
      </c>
      <c r="W5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7 años y 11 meses</v>
      </c>
    </row>
    <row r="6" spans="1:23">
      <c r="A6" s="2">
        <v>6</v>
      </c>
      <c r="B6" s="2" t="s">
        <v>1409</v>
      </c>
      <c r="C6" s="5" t="s">
        <v>123</v>
      </c>
      <c r="D6" s="5" t="s">
        <v>108</v>
      </c>
      <c r="E6" s="2" t="s">
        <v>51</v>
      </c>
      <c r="F6" s="5" t="s">
        <v>27</v>
      </c>
      <c r="G6" s="2" t="s">
        <v>1410</v>
      </c>
      <c r="H6" s="2" t="s">
        <v>64</v>
      </c>
      <c r="I6" s="2" t="s">
        <v>1411</v>
      </c>
      <c r="J6" s="2" t="s">
        <v>1412</v>
      </c>
      <c r="K6" s="2" t="s">
        <v>1377</v>
      </c>
      <c r="L6" s="2" t="s">
        <v>1413</v>
      </c>
      <c r="M6" s="2" t="s">
        <v>1414</v>
      </c>
      <c r="N6" s="2">
        <v>16</v>
      </c>
      <c r="O6" s="2" t="s">
        <v>1379</v>
      </c>
      <c r="P6" s="2" t="s">
        <v>1415</v>
      </c>
      <c r="Q6" s="2" t="s">
        <v>1381</v>
      </c>
      <c r="R6" s="2" t="s">
        <v>1416</v>
      </c>
      <c r="S6" s="2" t="s">
        <v>1417</v>
      </c>
      <c r="T6" s="2" t="s">
        <v>1418</v>
      </c>
      <c r="U6" s="3">
        <v>45580</v>
      </c>
      <c r="V6" s="3">
        <v>45579</v>
      </c>
      <c r="W6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9 meses</v>
      </c>
    </row>
    <row r="7" spans="1:23">
      <c r="A7" s="2">
        <v>171</v>
      </c>
      <c r="B7" s="2" t="s">
        <v>1419</v>
      </c>
      <c r="C7" s="5" t="s">
        <v>1420</v>
      </c>
      <c r="D7" s="5" t="s">
        <v>108</v>
      </c>
      <c r="E7" s="2" t="s">
        <v>51</v>
      </c>
      <c r="F7" s="5" t="s">
        <v>38</v>
      </c>
      <c r="G7" s="2" t="s">
        <v>1421</v>
      </c>
      <c r="H7" s="2" t="s">
        <v>1386</v>
      </c>
      <c r="I7" s="2" t="s">
        <v>1422</v>
      </c>
      <c r="J7" s="2" t="s">
        <v>1423</v>
      </c>
      <c r="K7" s="2" t="s">
        <v>1424</v>
      </c>
      <c r="L7" s="2" t="s">
        <v>1425</v>
      </c>
      <c r="M7" s="2" t="s">
        <v>108</v>
      </c>
      <c r="N7" s="2">
        <v>16</v>
      </c>
      <c r="O7" s="2" t="s">
        <v>1391</v>
      </c>
      <c r="P7" s="2" t="s">
        <v>1426</v>
      </c>
      <c r="Q7" s="2" t="s">
        <v>1381</v>
      </c>
      <c r="R7" s="2" t="s">
        <v>1382</v>
      </c>
      <c r="S7" s="2" t="s">
        <v>1427</v>
      </c>
      <c r="T7" s="2" t="s">
        <v>1428</v>
      </c>
      <c r="U7" s="3" t="s">
        <v>1429</v>
      </c>
      <c r="V7" s="2" t="s">
        <v>1430</v>
      </c>
      <c r="W7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-</v>
      </c>
    </row>
    <row r="8" spans="1:23">
      <c r="A8" s="2">
        <v>30</v>
      </c>
      <c r="B8" s="2" t="s">
        <v>1431</v>
      </c>
      <c r="C8" s="5" t="s">
        <v>135</v>
      </c>
      <c r="D8" s="5" t="s">
        <v>108</v>
      </c>
      <c r="E8" s="2" t="s">
        <v>51</v>
      </c>
      <c r="F8" s="5" t="s">
        <v>25</v>
      </c>
      <c r="G8" s="2" t="s">
        <v>1432</v>
      </c>
      <c r="H8" s="2" t="s">
        <v>64</v>
      </c>
      <c r="I8" s="2" t="s">
        <v>1433</v>
      </c>
      <c r="J8" s="2" t="s">
        <v>1434</v>
      </c>
      <c r="K8" s="2" t="s">
        <v>1398</v>
      </c>
      <c r="L8" s="2" t="s">
        <v>1435</v>
      </c>
      <c r="M8" s="2" t="s">
        <v>108</v>
      </c>
      <c r="N8" s="2">
        <v>8</v>
      </c>
      <c r="O8" s="2" t="s">
        <v>1379</v>
      </c>
      <c r="P8" s="2" t="s">
        <v>1380</v>
      </c>
      <c r="Q8" s="2" t="s">
        <v>1381</v>
      </c>
      <c r="R8" s="2" t="s">
        <v>1382</v>
      </c>
      <c r="S8" s="2" t="s">
        <v>1436</v>
      </c>
      <c r="T8" s="2" t="s">
        <v>1437</v>
      </c>
      <c r="U8" s="3">
        <v>44484</v>
      </c>
      <c r="V8" s="3">
        <v>46100</v>
      </c>
      <c r="W8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4 años y 9 meses</v>
      </c>
    </row>
    <row r="9" spans="1:23">
      <c r="A9" s="2">
        <v>9</v>
      </c>
      <c r="B9" s="2" t="s">
        <v>1438</v>
      </c>
      <c r="C9" s="5" t="s">
        <v>139</v>
      </c>
      <c r="D9" s="5" t="s">
        <v>108</v>
      </c>
      <c r="E9" s="2" t="s">
        <v>51</v>
      </c>
      <c r="F9" s="5" t="s">
        <v>29</v>
      </c>
      <c r="G9" s="2" t="s">
        <v>1439</v>
      </c>
      <c r="H9" s="2" t="s">
        <v>64</v>
      </c>
      <c r="I9" s="2" t="s">
        <v>1440</v>
      </c>
      <c r="J9" s="2" t="s">
        <v>1441</v>
      </c>
      <c r="K9" s="2" t="s">
        <v>1424</v>
      </c>
      <c r="L9" s="2" t="s">
        <v>1442</v>
      </c>
      <c r="M9" s="2" t="s">
        <v>108</v>
      </c>
      <c r="N9" s="2">
        <v>16</v>
      </c>
      <c r="O9" s="2" t="s">
        <v>1391</v>
      </c>
      <c r="P9" s="2" t="s">
        <v>1426</v>
      </c>
      <c r="Q9" s="2" t="s">
        <v>1381</v>
      </c>
      <c r="R9" s="2" t="s">
        <v>1382</v>
      </c>
      <c r="S9" s="2" t="s">
        <v>1443</v>
      </c>
      <c r="T9" s="2" t="s">
        <v>1444</v>
      </c>
      <c r="U9" s="3">
        <v>45726</v>
      </c>
      <c r="V9" s="3">
        <v>45735</v>
      </c>
      <c r="W9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5 meses</v>
      </c>
    </row>
    <row r="10" spans="1:23">
      <c r="A10" s="2">
        <v>10</v>
      </c>
      <c r="B10" s="2" t="s">
        <v>1445</v>
      </c>
      <c r="C10" s="5" t="s">
        <v>144</v>
      </c>
      <c r="D10" s="5" t="s">
        <v>108</v>
      </c>
      <c r="E10" s="2" t="s">
        <v>51</v>
      </c>
      <c r="F10" s="5" t="s">
        <v>52</v>
      </c>
      <c r="G10" s="2" t="s">
        <v>1446</v>
      </c>
      <c r="H10" s="2" t="s">
        <v>64</v>
      </c>
      <c r="I10" s="2" t="s">
        <v>1447</v>
      </c>
      <c r="J10" s="2" t="s">
        <v>1448</v>
      </c>
      <c r="K10" s="2" t="s">
        <v>1424</v>
      </c>
      <c r="L10" s="2" t="s">
        <v>1442</v>
      </c>
      <c r="M10" s="2" t="s">
        <v>108</v>
      </c>
      <c r="N10" s="2">
        <v>16</v>
      </c>
      <c r="O10" s="2" t="s">
        <v>1391</v>
      </c>
      <c r="P10" s="2" t="s">
        <v>1415</v>
      </c>
      <c r="Q10" s="2" t="s">
        <v>1381</v>
      </c>
      <c r="R10" s="2" t="s">
        <v>1382</v>
      </c>
      <c r="S10" s="2" t="s">
        <v>1443</v>
      </c>
      <c r="T10" s="2" t="s">
        <v>1449</v>
      </c>
      <c r="U10" s="3">
        <v>45754</v>
      </c>
      <c r="V10" s="3">
        <v>45756</v>
      </c>
      <c r="W10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4 meses</v>
      </c>
    </row>
    <row r="11" spans="1:23">
      <c r="A11" s="2">
        <v>11</v>
      </c>
      <c r="B11" s="2" t="s">
        <v>1450</v>
      </c>
      <c r="C11" s="5" t="s">
        <v>155</v>
      </c>
      <c r="D11" s="5" t="s">
        <v>108</v>
      </c>
      <c r="E11" s="2" t="s">
        <v>51</v>
      </c>
      <c r="F11" s="5" t="s">
        <v>40</v>
      </c>
      <c r="G11" s="2" t="s">
        <v>1451</v>
      </c>
      <c r="H11" s="2" t="s">
        <v>64</v>
      </c>
      <c r="I11" s="2" t="s">
        <v>1452</v>
      </c>
      <c r="J11" s="2" t="s">
        <v>1453</v>
      </c>
      <c r="K11" s="2" t="s">
        <v>1377</v>
      </c>
      <c r="L11" s="2" t="s">
        <v>1454</v>
      </c>
      <c r="M11" s="2" t="s">
        <v>108</v>
      </c>
      <c r="N11" s="2">
        <v>32</v>
      </c>
      <c r="O11" s="2" t="s">
        <v>1379</v>
      </c>
      <c r="P11" s="2" t="s">
        <v>1415</v>
      </c>
      <c r="Q11" s="2" t="s">
        <v>1381</v>
      </c>
      <c r="R11" s="2" t="s">
        <v>1382</v>
      </c>
      <c r="S11" s="2" t="s">
        <v>1455</v>
      </c>
      <c r="T11" s="2" t="s">
        <v>1456</v>
      </c>
      <c r="U11" s="3">
        <v>45444</v>
      </c>
      <c r="V11" s="3" t="s">
        <v>108</v>
      </c>
      <c r="W11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2 meses</v>
      </c>
    </row>
    <row r="12" spans="1:23">
      <c r="A12" s="2">
        <v>97</v>
      </c>
      <c r="B12" s="2" t="s">
        <v>1457</v>
      </c>
      <c r="C12" s="5" t="s">
        <v>1189</v>
      </c>
      <c r="D12" s="5" t="s">
        <v>108</v>
      </c>
      <c r="E12" s="2" t="s">
        <v>51</v>
      </c>
      <c r="F12" s="5" t="s">
        <v>27</v>
      </c>
      <c r="G12" s="2" t="s">
        <v>1458</v>
      </c>
      <c r="H12" s="2" t="s">
        <v>64</v>
      </c>
      <c r="I12" s="2" t="s">
        <v>1459</v>
      </c>
      <c r="J12" s="2" t="s">
        <v>1460</v>
      </c>
      <c r="K12" s="2" t="s">
        <v>1461</v>
      </c>
      <c r="L12" s="2" t="s">
        <v>1462</v>
      </c>
      <c r="M12" s="2" t="s">
        <v>108</v>
      </c>
      <c r="N12" s="2">
        <v>8</v>
      </c>
      <c r="O12" s="2" t="s">
        <v>1379</v>
      </c>
      <c r="P12" s="2" t="s">
        <v>1415</v>
      </c>
      <c r="Q12" s="2" t="s">
        <v>1381</v>
      </c>
      <c r="R12" s="2" t="s">
        <v>1382</v>
      </c>
      <c r="S12" s="2" t="s">
        <v>1455</v>
      </c>
      <c r="T12" s="2" t="s">
        <v>1463</v>
      </c>
      <c r="U12" s="3">
        <v>45040</v>
      </c>
      <c r="V12" s="3">
        <v>45959</v>
      </c>
      <c r="W12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3 años y 3 meses</v>
      </c>
    </row>
    <row r="13" spans="1:23">
      <c r="A13" s="2">
        <v>12</v>
      </c>
      <c r="B13" s="2" t="s">
        <v>1464</v>
      </c>
      <c r="C13" s="5" t="s">
        <v>161</v>
      </c>
      <c r="D13" s="5" t="s">
        <v>108</v>
      </c>
      <c r="E13" s="2" t="s">
        <v>51</v>
      </c>
      <c r="F13" s="5" t="s">
        <v>39</v>
      </c>
      <c r="G13" s="2" t="s">
        <v>1465</v>
      </c>
      <c r="H13" s="2" t="s">
        <v>64</v>
      </c>
      <c r="I13" s="2" t="s">
        <v>1466</v>
      </c>
      <c r="J13" s="2" t="s">
        <v>1467</v>
      </c>
      <c r="K13" s="2" t="s">
        <v>1377</v>
      </c>
      <c r="L13" s="2" t="s">
        <v>1389</v>
      </c>
      <c r="M13" s="2" t="s">
        <v>108</v>
      </c>
      <c r="N13" s="2">
        <v>32</v>
      </c>
      <c r="O13" s="2" t="s">
        <v>1379</v>
      </c>
      <c r="P13" s="2" t="s">
        <v>1415</v>
      </c>
      <c r="Q13" s="2" t="s">
        <v>1381</v>
      </c>
      <c r="R13" s="2" t="s">
        <v>1382</v>
      </c>
      <c r="S13" s="2" t="s">
        <v>1417</v>
      </c>
      <c r="T13" s="2" t="s">
        <v>1468</v>
      </c>
      <c r="U13" s="3">
        <v>44718</v>
      </c>
      <c r="V13" s="3">
        <v>45793</v>
      </c>
      <c r="W13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4 años y 2 meses</v>
      </c>
    </row>
    <row r="14" spans="1:23">
      <c r="A14" s="2">
        <v>13</v>
      </c>
      <c r="B14" s="2" t="s">
        <v>1469</v>
      </c>
      <c r="C14" s="5" t="s">
        <v>165</v>
      </c>
      <c r="D14" s="5" t="s">
        <v>108</v>
      </c>
      <c r="E14" s="2" t="s">
        <v>51</v>
      </c>
      <c r="F14" s="5" t="s">
        <v>25</v>
      </c>
      <c r="G14" s="2" t="s">
        <v>1470</v>
      </c>
      <c r="H14" s="2" t="s">
        <v>64</v>
      </c>
      <c r="I14" s="2" t="s">
        <v>1471</v>
      </c>
      <c r="J14" s="2" t="s">
        <v>1472</v>
      </c>
      <c r="K14" s="2" t="s">
        <v>1398</v>
      </c>
      <c r="L14" s="2" t="s">
        <v>1473</v>
      </c>
      <c r="M14" s="2" t="s">
        <v>108</v>
      </c>
      <c r="N14" s="2">
        <v>16</v>
      </c>
      <c r="O14" s="2" t="s">
        <v>1379</v>
      </c>
      <c r="P14" s="2" t="s">
        <v>1380</v>
      </c>
      <c r="Q14" s="2" t="s">
        <v>1381</v>
      </c>
      <c r="R14" s="2" t="s">
        <v>1382</v>
      </c>
      <c r="S14" s="2" t="s">
        <v>1474</v>
      </c>
      <c r="T14" s="2" t="s">
        <v>1475</v>
      </c>
      <c r="U14" s="3">
        <v>44560</v>
      </c>
      <c r="V14" s="3">
        <v>46098</v>
      </c>
      <c r="W14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4 años y 7 meses</v>
      </c>
    </row>
    <row r="15" spans="1:23">
      <c r="A15" s="2">
        <v>50</v>
      </c>
      <c r="B15" s="2" t="s">
        <v>1476</v>
      </c>
      <c r="C15" s="5" t="s">
        <v>170</v>
      </c>
      <c r="D15" s="5" t="s">
        <v>108</v>
      </c>
      <c r="E15" s="2" t="s">
        <v>51</v>
      </c>
      <c r="F15" s="5" t="s">
        <v>42</v>
      </c>
      <c r="G15" s="2" t="s">
        <v>1477</v>
      </c>
      <c r="H15" s="2" t="s">
        <v>64</v>
      </c>
      <c r="I15" s="2" t="s">
        <v>1478</v>
      </c>
      <c r="J15" s="2" t="s">
        <v>1479</v>
      </c>
      <c r="K15" s="2" t="s">
        <v>1424</v>
      </c>
      <c r="L15" s="2" t="s">
        <v>1442</v>
      </c>
      <c r="M15" s="2" t="s">
        <v>108</v>
      </c>
      <c r="N15" s="2">
        <v>32</v>
      </c>
      <c r="O15" s="2" t="s">
        <v>1391</v>
      </c>
      <c r="P15" s="2" t="s">
        <v>1426</v>
      </c>
      <c r="Q15" s="2" t="s">
        <v>1381</v>
      </c>
      <c r="R15" s="2" t="s">
        <v>1382</v>
      </c>
      <c r="S15" s="2" t="s">
        <v>1480</v>
      </c>
      <c r="T15" s="2" t="s">
        <v>1481</v>
      </c>
      <c r="U15" s="3">
        <v>45784</v>
      </c>
      <c r="V15" s="3">
        <v>45782</v>
      </c>
      <c r="W15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3 meses</v>
      </c>
    </row>
    <row r="16" spans="1:23">
      <c r="A16" s="2">
        <v>49</v>
      </c>
      <c r="B16" s="2" t="s">
        <v>1482</v>
      </c>
      <c r="C16" s="5" t="s">
        <v>170</v>
      </c>
      <c r="D16" s="5" t="s">
        <v>108</v>
      </c>
      <c r="E16" s="2" t="s">
        <v>51</v>
      </c>
      <c r="F16" s="5" t="s">
        <v>42</v>
      </c>
      <c r="G16" s="2" t="s">
        <v>1483</v>
      </c>
      <c r="H16" s="2" t="s">
        <v>64</v>
      </c>
      <c r="I16" s="2" t="s">
        <v>1484</v>
      </c>
      <c r="J16" s="2" t="s">
        <v>1485</v>
      </c>
      <c r="K16" s="2" t="s">
        <v>1377</v>
      </c>
      <c r="L16" s="2" t="s">
        <v>1486</v>
      </c>
      <c r="M16" s="2" t="s">
        <v>108</v>
      </c>
      <c r="N16" s="2">
        <v>16</v>
      </c>
      <c r="O16" s="2" t="s">
        <v>1391</v>
      </c>
      <c r="P16" s="2" t="s">
        <v>1380</v>
      </c>
      <c r="Q16" s="2" t="s">
        <v>1381</v>
      </c>
      <c r="R16" s="2" t="s">
        <v>1382</v>
      </c>
      <c r="S16" s="2" t="s">
        <v>1487</v>
      </c>
      <c r="T16" s="2" t="s">
        <v>1488</v>
      </c>
      <c r="U16" s="3">
        <v>42852</v>
      </c>
      <c r="V16" s="2" t="s">
        <v>108</v>
      </c>
      <c r="W16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9 años y 3 meses</v>
      </c>
    </row>
    <row r="17" spans="1:23">
      <c r="A17" s="2">
        <v>15</v>
      </c>
      <c r="B17" s="2" t="s">
        <v>108</v>
      </c>
      <c r="C17" s="5" t="s">
        <v>22</v>
      </c>
      <c r="D17" s="5" t="s">
        <v>108</v>
      </c>
      <c r="E17" s="2" t="s">
        <v>50</v>
      </c>
      <c r="F17" s="5" t="s">
        <v>22</v>
      </c>
      <c r="G17" s="2" t="s">
        <v>1489</v>
      </c>
      <c r="H17" s="2" t="s">
        <v>1386</v>
      </c>
      <c r="I17" s="2" t="s">
        <v>1490</v>
      </c>
      <c r="J17" s="2" t="s">
        <v>1491</v>
      </c>
      <c r="K17" s="2" t="s">
        <v>1398</v>
      </c>
      <c r="L17" s="2">
        <v>6500</v>
      </c>
      <c r="M17" s="2" t="s">
        <v>108</v>
      </c>
      <c r="N17" s="2">
        <v>8</v>
      </c>
      <c r="O17" s="2" t="s">
        <v>1492</v>
      </c>
      <c r="P17" s="2" t="s">
        <v>108</v>
      </c>
      <c r="Q17" s="2" t="s">
        <v>1381</v>
      </c>
      <c r="R17" s="2" t="s">
        <v>108</v>
      </c>
      <c r="S17" s="2" t="s">
        <v>108</v>
      </c>
      <c r="T17" s="2" t="s">
        <v>108</v>
      </c>
      <c r="U17" s="3" t="s">
        <v>108</v>
      </c>
      <c r="V17" s="2" t="s">
        <v>108</v>
      </c>
      <c r="W17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-</v>
      </c>
    </row>
    <row r="18" spans="1:23">
      <c r="A18" s="2">
        <v>16</v>
      </c>
      <c r="B18" s="2" t="s">
        <v>108</v>
      </c>
      <c r="C18" s="5" t="s">
        <v>22</v>
      </c>
      <c r="D18" s="5" t="s">
        <v>108</v>
      </c>
      <c r="E18" s="2" t="s">
        <v>50</v>
      </c>
      <c r="F18" s="5" t="s">
        <v>22</v>
      </c>
      <c r="G18" s="2" t="s">
        <v>1493</v>
      </c>
      <c r="H18" s="2" t="s">
        <v>1386</v>
      </c>
      <c r="I18" s="2" t="s">
        <v>1490</v>
      </c>
      <c r="J18" s="2" t="s">
        <v>1494</v>
      </c>
      <c r="K18" s="2" t="s">
        <v>1398</v>
      </c>
      <c r="L18" s="2">
        <v>6500</v>
      </c>
      <c r="M18" s="2" t="s">
        <v>108</v>
      </c>
      <c r="N18" s="2">
        <v>8</v>
      </c>
      <c r="O18" s="2" t="s">
        <v>1492</v>
      </c>
      <c r="P18" s="2" t="s">
        <v>108</v>
      </c>
      <c r="Q18" s="2" t="s">
        <v>1381</v>
      </c>
      <c r="R18" s="2" t="s">
        <v>108</v>
      </c>
      <c r="S18" s="2" t="s">
        <v>108</v>
      </c>
      <c r="T18" s="2" t="s">
        <v>108</v>
      </c>
      <c r="U18" s="3" t="s">
        <v>108</v>
      </c>
      <c r="V18" s="2" t="s">
        <v>108</v>
      </c>
      <c r="W18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-</v>
      </c>
    </row>
    <row r="19" spans="1:23">
      <c r="A19" s="2">
        <v>153</v>
      </c>
      <c r="B19" s="2" t="s">
        <v>1469</v>
      </c>
      <c r="C19" s="5" t="s">
        <v>1495</v>
      </c>
      <c r="D19" s="5" t="s">
        <v>108</v>
      </c>
      <c r="E19" s="2" t="s">
        <v>51</v>
      </c>
      <c r="F19" s="5" t="s">
        <v>25</v>
      </c>
      <c r="G19" s="2" t="s">
        <v>1496</v>
      </c>
      <c r="H19" s="2" t="s">
        <v>64</v>
      </c>
      <c r="I19" s="2" t="s">
        <v>1471</v>
      </c>
      <c r="J19" s="2" t="s">
        <v>1497</v>
      </c>
      <c r="K19" s="2" t="s">
        <v>1398</v>
      </c>
      <c r="L19" s="2" t="s">
        <v>1473</v>
      </c>
      <c r="M19" s="2" t="s">
        <v>108</v>
      </c>
      <c r="N19" s="2">
        <v>16</v>
      </c>
      <c r="O19" s="2" t="s">
        <v>1379</v>
      </c>
      <c r="P19" s="2" t="s">
        <v>1380</v>
      </c>
      <c r="Q19" s="2" t="s">
        <v>1498</v>
      </c>
      <c r="R19" s="2" t="s">
        <v>108</v>
      </c>
      <c r="S19" s="2" t="s">
        <v>1474</v>
      </c>
      <c r="T19" s="2" t="s">
        <v>1499</v>
      </c>
      <c r="U19" s="3">
        <v>44560</v>
      </c>
      <c r="V19" s="3">
        <v>45820</v>
      </c>
      <c r="W19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4 años y 7 meses</v>
      </c>
    </row>
    <row r="20" spans="1:23">
      <c r="A20" s="2">
        <v>154</v>
      </c>
      <c r="B20" s="2" t="s">
        <v>1500</v>
      </c>
      <c r="C20" s="5" t="s">
        <v>1495</v>
      </c>
      <c r="D20" s="5" t="s">
        <v>108</v>
      </c>
      <c r="E20" s="2" t="s">
        <v>51</v>
      </c>
      <c r="F20" s="5" t="s">
        <v>25</v>
      </c>
      <c r="G20" s="2" t="s">
        <v>1501</v>
      </c>
      <c r="H20" s="2" t="s">
        <v>1502</v>
      </c>
      <c r="I20" s="2" t="s">
        <v>1503</v>
      </c>
      <c r="J20" s="2" t="s">
        <v>1504</v>
      </c>
      <c r="K20" s="2" t="s">
        <v>1377</v>
      </c>
      <c r="L20" s="2" t="s">
        <v>1505</v>
      </c>
      <c r="M20" s="2" t="s">
        <v>108</v>
      </c>
      <c r="N20" s="2">
        <v>16</v>
      </c>
      <c r="O20" s="2" t="s">
        <v>1391</v>
      </c>
      <c r="P20" s="2" t="s">
        <v>1380</v>
      </c>
      <c r="Q20" s="2" t="s">
        <v>1381</v>
      </c>
      <c r="R20" s="2" t="s">
        <v>1382</v>
      </c>
      <c r="S20" s="2" t="s">
        <v>1506</v>
      </c>
      <c r="T20" s="2" t="s">
        <v>1507</v>
      </c>
      <c r="U20" s="3">
        <v>44043</v>
      </c>
      <c r="V20" s="3">
        <v>45663</v>
      </c>
      <c r="W20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6 años y 0 meses</v>
      </c>
    </row>
    <row r="21" spans="1:23">
      <c r="A21" s="2">
        <v>155</v>
      </c>
      <c r="B21" s="2" t="s">
        <v>1508</v>
      </c>
      <c r="C21" s="5" t="s">
        <v>1495</v>
      </c>
      <c r="D21" s="5" t="s">
        <v>108</v>
      </c>
      <c r="E21" s="2" t="s">
        <v>51</v>
      </c>
      <c r="F21" s="5" t="s">
        <v>25</v>
      </c>
      <c r="G21" s="2" t="s">
        <v>1509</v>
      </c>
      <c r="H21" s="2" t="s">
        <v>1386</v>
      </c>
      <c r="I21" s="2" t="s">
        <v>1510</v>
      </c>
      <c r="J21" s="2" t="s">
        <v>1511</v>
      </c>
      <c r="K21" s="2" t="s">
        <v>1377</v>
      </c>
      <c r="L21" s="2" t="s">
        <v>1512</v>
      </c>
      <c r="M21" s="2" t="s">
        <v>108</v>
      </c>
      <c r="N21" s="2">
        <v>8</v>
      </c>
      <c r="O21" s="2" t="s">
        <v>1379</v>
      </c>
      <c r="P21" s="2" t="s">
        <v>1380</v>
      </c>
      <c r="Q21" s="2" t="s">
        <v>1381</v>
      </c>
      <c r="R21" s="2" t="s">
        <v>108</v>
      </c>
      <c r="S21" s="2" t="s">
        <v>1513</v>
      </c>
      <c r="T21" s="2" t="s">
        <v>108</v>
      </c>
      <c r="U21" s="3">
        <v>42929</v>
      </c>
      <c r="V21" s="3">
        <v>45720</v>
      </c>
      <c r="W21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9 años y 0 meses</v>
      </c>
    </row>
    <row r="22" spans="1:23">
      <c r="A22" s="2">
        <v>156</v>
      </c>
      <c r="B22" s="2" t="s">
        <v>1514</v>
      </c>
      <c r="C22" s="5" t="s">
        <v>1495</v>
      </c>
      <c r="D22" s="5" t="s">
        <v>108</v>
      </c>
      <c r="E22" s="2" t="s">
        <v>51</v>
      </c>
      <c r="F22" s="5" t="s">
        <v>42</v>
      </c>
      <c r="G22" s="2" t="s">
        <v>1515</v>
      </c>
      <c r="H22" s="2" t="s">
        <v>1386</v>
      </c>
      <c r="I22" s="2" t="s">
        <v>1516</v>
      </c>
      <c r="J22" s="2" t="s">
        <v>1517</v>
      </c>
      <c r="K22" s="2" t="s">
        <v>1398</v>
      </c>
      <c r="L22" s="2" t="s">
        <v>1518</v>
      </c>
      <c r="M22" s="2" t="s">
        <v>108</v>
      </c>
      <c r="N22" s="2">
        <v>12</v>
      </c>
      <c r="O22" s="2" t="s">
        <v>1379</v>
      </c>
      <c r="P22" s="2" t="s">
        <v>1380</v>
      </c>
      <c r="Q22" s="2" t="s">
        <v>1381</v>
      </c>
      <c r="R22" s="2" t="s">
        <v>108</v>
      </c>
      <c r="S22" s="2" t="s">
        <v>1519</v>
      </c>
      <c r="T22" s="2" t="s">
        <v>1520</v>
      </c>
      <c r="U22" s="3" t="s">
        <v>108</v>
      </c>
      <c r="V22" s="3">
        <v>46119</v>
      </c>
      <c r="W22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-</v>
      </c>
    </row>
    <row r="23" spans="1:23">
      <c r="A23" s="2">
        <v>17</v>
      </c>
      <c r="B23" s="2" t="s">
        <v>1521</v>
      </c>
      <c r="C23" s="5" t="s">
        <v>175</v>
      </c>
      <c r="D23" s="5" t="s">
        <v>108</v>
      </c>
      <c r="E23" s="2" t="s">
        <v>51</v>
      </c>
      <c r="F23" s="5" t="s">
        <v>27</v>
      </c>
      <c r="G23" s="2" t="s">
        <v>1522</v>
      </c>
      <c r="H23" s="2" t="s">
        <v>64</v>
      </c>
      <c r="I23" s="2" t="s">
        <v>1523</v>
      </c>
      <c r="J23" s="2" t="s">
        <v>1524</v>
      </c>
      <c r="K23" s="2" t="s">
        <v>1398</v>
      </c>
      <c r="L23" s="2" t="s">
        <v>1525</v>
      </c>
      <c r="M23" s="2" t="s">
        <v>108</v>
      </c>
      <c r="N23" s="2">
        <v>8</v>
      </c>
      <c r="O23" s="2" t="s">
        <v>1379</v>
      </c>
      <c r="P23" s="2" t="s">
        <v>1415</v>
      </c>
      <c r="Q23" s="2" t="s">
        <v>1381</v>
      </c>
      <c r="R23" s="2" t="s">
        <v>1416</v>
      </c>
      <c r="S23" s="2" t="s">
        <v>1455</v>
      </c>
      <c r="T23" s="2" t="s">
        <v>1526</v>
      </c>
      <c r="U23" s="3">
        <v>45261</v>
      </c>
      <c r="V23" s="3">
        <v>45835</v>
      </c>
      <c r="W23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8 meses</v>
      </c>
    </row>
    <row r="24" spans="1:23">
      <c r="A24" s="2">
        <v>18</v>
      </c>
      <c r="B24" s="2" t="s">
        <v>1527</v>
      </c>
      <c r="C24" s="5" t="s">
        <v>177</v>
      </c>
      <c r="D24" s="5" t="s">
        <v>108</v>
      </c>
      <c r="E24" s="2" t="s">
        <v>51</v>
      </c>
      <c r="F24" s="5" t="s">
        <v>27</v>
      </c>
      <c r="G24" s="2" t="s">
        <v>1528</v>
      </c>
      <c r="H24" s="2" t="s">
        <v>64</v>
      </c>
      <c r="I24" s="2" t="s">
        <v>1466</v>
      </c>
      <c r="J24" s="2" t="s">
        <v>1529</v>
      </c>
      <c r="K24" s="2" t="s">
        <v>1377</v>
      </c>
      <c r="L24" s="2" t="s">
        <v>1530</v>
      </c>
      <c r="M24" s="2" t="s">
        <v>108</v>
      </c>
      <c r="N24" s="2">
        <v>16</v>
      </c>
      <c r="O24" s="2" t="s">
        <v>1379</v>
      </c>
      <c r="P24" s="2" t="s">
        <v>1415</v>
      </c>
      <c r="Q24" s="2" t="s">
        <v>1381</v>
      </c>
      <c r="R24" s="2" t="s">
        <v>1382</v>
      </c>
      <c r="S24" s="2" t="s">
        <v>1531</v>
      </c>
      <c r="T24" s="2" t="s">
        <v>1532</v>
      </c>
      <c r="U24" s="3">
        <v>44370</v>
      </c>
      <c r="V24" s="3">
        <v>45532</v>
      </c>
      <c r="W24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5 años y 1 mes</v>
      </c>
    </row>
    <row r="25" spans="1:23">
      <c r="A25" s="2">
        <v>19</v>
      </c>
      <c r="B25" s="2" t="s">
        <v>1533</v>
      </c>
      <c r="C25" s="5" t="s">
        <v>185</v>
      </c>
      <c r="D25" s="5" t="s">
        <v>108</v>
      </c>
      <c r="E25" s="2" t="s">
        <v>51</v>
      </c>
      <c r="F25" s="5" t="s">
        <v>27</v>
      </c>
      <c r="G25" s="2" t="s">
        <v>1534</v>
      </c>
      <c r="H25" s="2" t="s">
        <v>64</v>
      </c>
      <c r="I25" s="2" t="s">
        <v>1535</v>
      </c>
      <c r="J25" s="2" t="s">
        <v>1536</v>
      </c>
      <c r="K25" s="2" t="s">
        <v>1398</v>
      </c>
      <c r="L25" s="2" t="s">
        <v>1537</v>
      </c>
      <c r="M25" s="2" t="s">
        <v>108</v>
      </c>
      <c r="N25" s="2">
        <v>16</v>
      </c>
      <c r="O25" s="2" t="s">
        <v>1379</v>
      </c>
      <c r="P25" s="2" t="s">
        <v>1415</v>
      </c>
      <c r="Q25" s="2" t="s">
        <v>1381</v>
      </c>
      <c r="R25" s="2" t="s">
        <v>1382</v>
      </c>
      <c r="S25" s="2" t="s">
        <v>1417</v>
      </c>
      <c r="T25" s="2" t="s">
        <v>1538</v>
      </c>
      <c r="U25" s="3">
        <v>45111</v>
      </c>
      <c r="V25" s="3">
        <v>45978</v>
      </c>
      <c r="W25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3 años y 1 mes</v>
      </c>
    </row>
    <row r="26" spans="1:23">
      <c r="A26" s="2">
        <v>20</v>
      </c>
      <c r="B26" s="2" t="s">
        <v>1539</v>
      </c>
      <c r="C26" s="5" t="s">
        <v>189</v>
      </c>
      <c r="D26" s="5" t="s">
        <v>108</v>
      </c>
      <c r="E26" s="2" t="s">
        <v>51</v>
      </c>
      <c r="F26" s="5" t="s">
        <v>22</v>
      </c>
      <c r="G26" s="2" t="s">
        <v>1540</v>
      </c>
      <c r="H26" s="2" t="s">
        <v>64</v>
      </c>
      <c r="I26" s="2" t="s">
        <v>1541</v>
      </c>
      <c r="J26" s="2" t="s">
        <v>1542</v>
      </c>
      <c r="K26" s="2" t="s">
        <v>1461</v>
      </c>
      <c r="L26" s="2" t="s">
        <v>1543</v>
      </c>
      <c r="M26" s="2" t="s">
        <v>108</v>
      </c>
      <c r="N26" s="2">
        <v>8</v>
      </c>
      <c r="O26" s="2" t="s">
        <v>1379</v>
      </c>
      <c r="P26" s="2" t="s">
        <v>1415</v>
      </c>
      <c r="Q26" s="2" t="s">
        <v>1381</v>
      </c>
      <c r="R26" s="2" t="s">
        <v>1382</v>
      </c>
      <c r="S26" s="2" t="s">
        <v>1544</v>
      </c>
      <c r="T26" s="2" t="s">
        <v>1545</v>
      </c>
      <c r="U26" s="3">
        <v>44590</v>
      </c>
      <c r="V26" s="3">
        <v>45449</v>
      </c>
      <c r="W26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4 años y 6 meses</v>
      </c>
    </row>
    <row r="27" spans="1:23">
      <c r="A27" s="2">
        <v>21</v>
      </c>
      <c r="B27" s="2" t="s">
        <v>1546</v>
      </c>
      <c r="C27" s="5" t="s">
        <v>197</v>
      </c>
      <c r="D27" s="5" t="s">
        <v>108</v>
      </c>
      <c r="E27" s="2" t="s">
        <v>51</v>
      </c>
      <c r="F27" s="5" t="s">
        <v>42</v>
      </c>
      <c r="G27" s="2" t="s">
        <v>1547</v>
      </c>
      <c r="H27" s="2" t="s">
        <v>1386</v>
      </c>
      <c r="I27" s="2" t="s">
        <v>1548</v>
      </c>
      <c r="J27" s="2" t="s">
        <v>1549</v>
      </c>
      <c r="K27" s="2" t="s">
        <v>1377</v>
      </c>
      <c r="L27" s="2" t="s">
        <v>1413</v>
      </c>
      <c r="M27" s="2" t="s">
        <v>108</v>
      </c>
      <c r="N27" s="2">
        <v>32</v>
      </c>
      <c r="O27" s="2" t="s">
        <v>1391</v>
      </c>
      <c r="P27" s="2" t="s">
        <v>1426</v>
      </c>
      <c r="Q27" s="2" t="s">
        <v>1381</v>
      </c>
      <c r="R27" s="2" t="s">
        <v>1382</v>
      </c>
      <c r="S27" s="2" t="s">
        <v>1550</v>
      </c>
      <c r="T27" s="2" t="s">
        <v>1551</v>
      </c>
      <c r="U27" s="3">
        <v>45257</v>
      </c>
      <c r="V27" s="3">
        <v>45455</v>
      </c>
      <c r="W27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8 meses</v>
      </c>
    </row>
    <row r="28" spans="1:23">
      <c r="A28" s="2">
        <v>22</v>
      </c>
      <c r="B28" s="2" t="s">
        <v>1552</v>
      </c>
      <c r="C28" s="5" t="s">
        <v>201</v>
      </c>
      <c r="D28" s="5" t="s">
        <v>108</v>
      </c>
      <c r="E28" s="2" t="s">
        <v>51</v>
      </c>
      <c r="F28" s="5" t="s">
        <v>40</v>
      </c>
      <c r="G28" s="2" t="s">
        <v>1553</v>
      </c>
      <c r="H28" s="2" t="s">
        <v>64</v>
      </c>
      <c r="I28" s="2" t="s">
        <v>1452</v>
      </c>
      <c r="J28" s="2" t="s">
        <v>1554</v>
      </c>
      <c r="K28" s="2" t="s">
        <v>1398</v>
      </c>
      <c r="L28" s="2" t="s">
        <v>1454</v>
      </c>
      <c r="M28" s="2" t="s">
        <v>108</v>
      </c>
      <c r="N28" s="2">
        <v>16</v>
      </c>
      <c r="O28" s="2" t="s">
        <v>1379</v>
      </c>
      <c r="P28" s="2" t="s">
        <v>1415</v>
      </c>
      <c r="Q28" s="2" t="s">
        <v>1381</v>
      </c>
      <c r="R28" s="2" t="s">
        <v>1416</v>
      </c>
      <c r="S28" s="2" t="s">
        <v>1555</v>
      </c>
      <c r="T28" s="2" t="s">
        <v>1556</v>
      </c>
      <c r="U28" s="3">
        <v>45659</v>
      </c>
      <c r="V28" s="3">
        <v>45776</v>
      </c>
      <c r="W28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7 meses</v>
      </c>
    </row>
    <row r="29" spans="1:23">
      <c r="A29" s="2">
        <v>23</v>
      </c>
      <c r="B29" s="2" t="s">
        <v>1557</v>
      </c>
      <c r="C29" s="5" t="s">
        <v>206</v>
      </c>
      <c r="D29" s="5" t="s">
        <v>108</v>
      </c>
      <c r="E29" s="2" t="s">
        <v>51</v>
      </c>
      <c r="F29" s="5" t="s">
        <v>27</v>
      </c>
      <c r="G29" s="2" t="s">
        <v>1558</v>
      </c>
      <c r="H29" s="2" t="s">
        <v>64</v>
      </c>
      <c r="I29" s="2" t="s">
        <v>1459</v>
      </c>
      <c r="J29" s="2" t="s">
        <v>1559</v>
      </c>
      <c r="K29" s="2" t="s">
        <v>1461</v>
      </c>
      <c r="L29" s="2" t="s">
        <v>1560</v>
      </c>
      <c r="M29" s="2" t="s">
        <v>108</v>
      </c>
      <c r="N29" s="2">
        <v>8</v>
      </c>
      <c r="O29" s="2" t="s">
        <v>1379</v>
      </c>
      <c r="P29" s="2" t="s">
        <v>1415</v>
      </c>
      <c r="Q29" s="2" t="s">
        <v>1381</v>
      </c>
      <c r="R29" s="2" t="s">
        <v>1416</v>
      </c>
      <c r="S29" s="2" t="s">
        <v>1455</v>
      </c>
      <c r="T29" s="2" t="s">
        <v>1561</v>
      </c>
      <c r="U29" s="3">
        <v>45040</v>
      </c>
      <c r="V29" s="3">
        <v>45043</v>
      </c>
      <c r="W29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3 años y 3 meses</v>
      </c>
    </row>
    <row r="30" spans="1:23">
      <c r="A30" s="2">
        <v>24</v>
      </c>
      <c r="B30" s="2" t="s">
        <v>1562</v>
      </c>
      <c r="C30" s="5" t="s">
        <v>210</v>
      </c>
      <c r="D30" s="5" t="s">
        <v>108</v>
      </c>
      <c r="E30" s="2" t="s">
        <v>51</v>
      </c>
      <c r="F30" s="5" t="s">
        <v>23</v>
      </c>
      <c r="G30" s="2" t="s">
        <v>1563</v>
      </c>
      <c r="H30" s="2" t="s">
        <v>64</v>
      </c>
      <c r="I30" s="2" t="s">
        <v>1564</v>
      </c>
      <c r="J30" s="2" t="s">
        <v>1565</v>
      </c>
      <c r="K30" s="2" t="s">
        <v>1377</v>
      </c>
      <c r="L30" s="2" t="s">
        <v>1413</v>
      </c>
      <c r="M30" s="2" t="s">
        <v>108</v>
      </c>
      <c r="N30" s="2">
        <v>32</v>
      </c>
      <c r="O30" s="2" t="s">
        <v>1391</v>
      </c>
      <c r="P30" s="2" t="s">
        <v>1380</v>
      </c>
      <c r="Q30" s="2" t="s">
        <v>1381</v>
      </c>
      <c r="R30" s="2" t="s">
        <v>1382</v>
      </c>
      <c r="S30" s="2" t="s">
        <v>1417</v>
      </c>
      <c r="T30" s="2" t="s">
        <v>1566</v>
      </c>
      <c r="U30" s="3">
        <v>45604</v>
      </c>
      <c r="V30" s="3">
        <v>45618</v>
      </c>
      <c r="W30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9 meses</v>
      </c>
    </row>
    <row r="31" spans="1:23">
      <c r="A31" s="2">
        <v>166</v>
      </c>
      <c r="B31" s="2" t="s">
        <v>1567</v>
      </c>
      <c r="C31" s="5" t="s">
        <v>210</v>
      </c>
      <c r="D31" s="5" t="s">
        <v>108</v>
      </c>
      <c r="E31" s="2" t="s">
        <v>51</v>
      </c>
      <c r="F31" s="5" t="s">
        <v>23</v>
      </c>
      <c r="G31" s="2" t="s">
        <v>1568</v>
      </c>
      <c r="H31" s="2" t="s">
        <v>1386</v>
      </c>
      <c r="I31" s="2" t="s">
        <v>1569</v>
      </c>
      <c r="J31" s="2" t="s">
        <v>1570</v>
      </c>
      <c r="K31" s="2" t="s">
        <v>1424</v>
      </c>
      <c r="L31" s="2" t="s">
        <v>1571</v>
      </c>
      <c r="M31" s="2" t="s">
        <v>108</v>
      </c>
      <c r="N31" s="2">
        <v>48</v>
      </c>
      <c r="O31" s="2" t="s">
        <v>1391</v>
      </c>
      <c r="P31" s="2" t="s">
        <v>1426</v>
      </c>
      <c r="Q31" s="2" t="s">
        <v>1381</v>
      </c>
      <c r="R31" s="2" t="s">
        <v>1382</v>
      </c>
      <c r="S31" s="2" t="s">
        <v>1572</v>
      </c>
      <c r="T31" s="2" t="s">
        <v>1573</v>
      </c>
      <c r="U31" s="3">
        <v>46055</v>
      </c>
      <c r="V31" s="3">
        <v>46063</v>
      </c>
      <c r="W31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0 años y 6 meses</v>
      </c>
    </row>
    <row r="32" spans="1:23">
      <c r="A32" s="2">
        <v>26</v>
      </c>
      <c r="B32" s="2" t="s">
        <v>1574</v>
      </c>
      <c r="C32" s="5" t="s">
        <v>215</v>
      </c>
      <c r="D32" s="5" t="s">
        <v>108</v>
      </c>
      <c r="E32" s="2" t="s">
        <v>51</v>
      </c>
      <c r="F32" s="5" t="s">
        <v>27</v>
      </c>
      <c r="G32" s="2" t="s">
        <v>1575</v>
      </c>
      <c r="H32" s="2" t="s">
        <v>64</v>
      </c>
      <c r="I32" s="2" t="s">
        <v>1523</v>
      </c>
      <c r="J32" s="2" t="s">
        <v>1576</v>
      </c>
      <c r="K32" s="2" t="s">
        <v>1398</v>
      </c>
      <c r="L32" s="2" t="s">
        <v>1537</v>
      </c>
      <c r="M32" s="2" t="s">
        <v>108</v>
      </c>
      <c r="N32" s="2">
        <v>8</v>
      </c>
      <c r="O32" s="2" t="s">
        <v>1379</v>
      </c>
      <c r="P32" s="2" t="s">
        <v>1415</v>
      </c>
      <c r="Q32" s="2" t="s">
        <v>1381</v>
      </c>
      <c r="R32" s="2" t="s">
        <v>1416</v>
      </c>
      <c r="S32" s="2" t="s">
        <v>1577</v>
      </c>
      <c r="T32" s="2" t="s">
        <v>1578</v>
      </c>
      <c r="U32" s="3">
        <v>45261</v>
      </c>
      <c r="V32" s="3">
        <v>45287</v>
      </c>
      <c r="W32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8 meses</v>
      </c>
    </row>
    <row r="33" spans="1:23">
      <c r="A33" s="2">
        <v>27</v>
      </c>
      <c r="B33" s="2" t="s">
        <v>1579</v>
      </c>
      <c r="C33" s="5" t="s">
        <v>221</v>
      </c>
      <c r="D33" s="5" t="s">
        <v>108</v>
      </c>
      <c r="E33" s="2" t="s">
        <v>51</v>
      </c>
      <c r="F33" s="5" t="s">
        <v>29</v>
      </c>
      <c r="G33" s="2" t="s">
        <v>1580</v>
      </c>
      <c r="H33" s="2" t="s">
        <v>64</v>
      </c>
      <c r="I33" s="2" t="s">
        <v>1440</v>
      </c>
      <c r="J33" s="2" t="s">
        <v>1581</v>
      </c>
      <c r="K33" s="2" t="s">
        <v>1424</v>
      </c>
      <c r="L33" s="2" t="s">
        <v>1442</v>
      </c>
      <c r="M33" s="2" t="s">
        <v>108</v>
      </c>
      <c r="N33" s="2">
        <v>16</v>
      </c>
      <c r="O33" s="2" t="s">
        <v>1391</v>
      </c>
      <c r="P33" s="2" t="s">
        <v>1426</v>
      </c>
      <c r="Q33" s="2" t="s">
        <v>1381</v>
      </c>
      <c r="R33" s="2" t="s">
        <v>1382</v>
      </c>
      <c r="S33" s="2" t="s">
        <v>1443</v>
      </c>
      <c r="T33" s="2" t="s">
        <v>1582</v>
      </c>
      <c r="U33" s="3">
        <v>45726</v>
      </c>
      <c r="V33" s="3">
        <v>45734</v>
      </c>
      <c r="W33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5 meses</v>
      </c>
    </row>
    <row r="34" spans="1:23">
      <c r="A34" s="2">
        <v>61</v>
      </c>
      <c r="B34" s="2" t="s">
        <v>1583</v>
      </c>
      <c r="C34" s="5" t="s">
        <v>224</v>
      </c>
      <c r="D34" s="5" t="s">
        <v>108</v>
      </c>
      <c r="E34" s="2" t="s">
        <v>51</v>
      </c>
      <c r="F34" s="5" t="s">
        <v>40</v>
      </c>
      <c r="G34" s="2" t="s">
        <v>1584</v>
      </c>
      <c r="H34" s="2" t="s">
        <v>64</v>
      </c>
      <c r="I34" s="2" t="s">
        <v>1433</v>
      </c>
      <c r="J34" s="2" t="s">
        <v>1585</v>
      </c>
      <c r="K34" s="2" t="s">
        <v>1377</v>
      </c>
      <c r="L34" s="2" t="s">
        <v>1586</v>
      </c>
      <c r="M34" s="2" t="s">
        <v>108</v>
      </c>
      <c r="N34" s="2">
        <v>32</v>
      </c>
      <c r="O34" s="2" t="s">
        <v>1391</v>
      </c>
      <c r="P34" s="2" t="s">
        <v>1380</v>
      </c>
      <c r="Q34" s="2" t="s">
        <v>1381</v>
      </c>
      <c r="R34" s="2" t="s">
        <v>1382</v>
      </c>
      <c r="S34" s="2" t="s">
        <v>1531</v>
      </c>
      <c r="T34" s="2" t="s">
        <v>1587</v>
      </c>
      <c r="U34" s="3">
        <v>44413</v>
      </c>
      <c r="V34" s="3">
        <v>45756</v>
      </c>
      <c r="W34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5 años y 0 meses</v>
      </c>
    </row>
    <row r="35" spans="1:23">
      <c r="A35" s="2">
        <v>28</v>
      </c>
      <c r="B35" s="2" t="s">
        <v>1588</v>
      </c>
      <c r="C35" s="5" t="s">
        <v>235</v>
      </c>
      <c r="D35" s="5" t="s">
        <v>108</v>
      </c>
      <c r="E35" s="2" t="s">
        <v>51</v>
      </c>
      <c r="F35" s="5" t="s">
        <v>27</v>
      </c>
      <c r="G35" s="2" t="s">
        <v>1589</v>
      </c>
      <c r="H35" s="2" t="s">
        <v>64</v>
      </c>
      <c r="I35" s="2" t="s">
        <v>1452</v>
      </c>
      <c r="J35" s="2" t="s">
        <v>1590</v>
      </c>
      <c r="K35" s="2" t="s">
        <v>1398</v>
      </c>
      <c r="L35" s="2" t="s">
        <v>1454</v>
      </c>
      <c r="M35" s="2" t="s">
        <v>108</v>
      </c>
      <c r="N35" s="2">
        <v>16</v>
      </c>
      <c r="O35" s="2" t="s">
        <v>1379</v>
      </c>
      <c r="P35" s="2" t="s">
        <v>1415</v>
      </c>
      <c r="Q35" s="2" t="s">
        <v>1381</v>
      </c>
      <c r="R35" s="2" t="s">
        <v>1416</v>
      </c>
      <c r="S35" s="2" t="s">
        <v>1555</v>
      </c>
      <c r="T35" s="2" t="s">
        <v>1591</v>
      </c>
      <c r="U35" s="3">
        <v>45659</v>
      </c>
      <c r="V35" s="3">
        <v>45686</v>
      </c>
      <c r="W35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7 meses</v>
      </c>
    </row>
    <row r="36" spans="1:23">
      <c r="A36" s="2">
        <v>29</v>
      </c>
      <c r="B36" s="2" t="s">
        <v>1592</v>
      </c>
      <c r="C36" s="5" t="s">
        <v>239</v>
      </c>
      <c r="D36" s="5" t="s">
        <v>108</v>
      </c>
      <c r="E36" s="2" t="s">
        <v>51</v>
      </c>
      <c r="F36" s="5" t="s">
        <v>39</v>
      </c>
      <c r="G36" s="2" t="s">
        <v>1593</v>
      </c>
      <c r="H36" s="2" t="s">
        <v>1386</v>
      </c>
      <c r="I36" s="2" t="s">
        <v>1396</v>
      </c>
      <c r="J36" s="2" t="s">
        <v>1594</v>
      </c>
      <c r="K36" s="2" t="s">
        <v>1377</v>
      </c>
      <c r="L36" s="2" t="s">
        <v>1389</v>
      </c>
      <c r="M36" s="2" t="s">
        <v>108</v>
      </c>
      <c r="N36" s="2">
        <v>16</v>
      </c>
      <c r="O36" s="2" t="s">
        <v>1379</v>
      </c>
      <c r="P36" s="2" t="s">
        <v>1380</v>
      </c>
      <c r="Q36" s="2" t="s">
        <v>1381</v>
      </c>
      <c r="R36" s="2" t="s">
        <v>1382</v>
      </c>
      <c r="S36" s="2" t="s">
        <v>1392</v>
      </c>
      <c r="T36" s="2" t="s">
        <v>1595</v>
      </c>
      <c r="U36" s="3">
        <v>44952</v>
      </c>
      <c r="V36" s="3">
        <v>44957</v>
      </c>
      <c r="W36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3 años y 6 meses</v>
      </c>
    </row>
    <row r="37" spans="1:23">
      <c r="A37" s="2">
        <v>125</v>
      </c>
      <c r="B37" s="2" t="s">
        <v>1596</v>
      </c>
      <c r="C37" s="5" t="s">
        <v>243</v>
      </c>
      <c r="D37" s="5" t="s">
        <v>108</v>
      </c>
      <c r="E37" s="2" t="s">
        <v>51</v>
      </c>
      <c r="F37" s="5" t="s">
        <v>25</v>
      </c>
      <c r="G37" s="2" t="s">
        <v>1597</v>
      </c>
      <c r="H37" s="2" t="s">
        <v>1386</v>
      </c>
      <c r="I37" s="2" t="s">
        <v>1569</v>
      </c>
      <c r="J37" s="2" t="s">
        <v>1598</v>
      </c>
      <c r="K37" s="2" t="s">
        <v>1599</v>
      </c>
      <c r="L37" s="2" t="s">
        <v>1600</v>
      </c>
      <c r="M37" s="2" t="s">
        <v>108</v>
      </c>
      <c r="N37" s="2">
        <v>16</v>
      </c>
      <c r="O37" s="2" t="s">
        <v>1391</v>
      </c>
      <c r="P37" s="2" t="s">
        <v>1426</v>
      </c>
      <c r="Q37" s="2" t="s">
        <v>1381</v>
      </c>
      <c r="R37" s="2" t="s">
        <v>1382</v>
      </c>
      <c r="S37" s="2" t="s">
        <v>1572</v>
      </c>
      <c r="T37" s="2" t="s">
        <v>1601</v>
      </c>
      <c r="U37" s="3">
        <v>46055</v>
      </c>
      <c r="V37" s="3">
        <v>46065</v>
      </c>
      <c r="W37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0 años y 6 meses</v>
      </c>
    </row>
    <row r="38" spans="1:23">
      <c r="A38" s="2">
        <v>31</v>
      </c>
      <c r="B38" s="2" t="s">
        <v>1602</v>
      </c>
      <c r="C38" s="5" t="s">
        <v>250</v>
      </c>
      <c r="D38" s="5" t="s">
        <v>108</v>
      </c>
      <c r="E38" s="2" t="s">
        <v>51</v>
      </c>
      <c r="F38" s="5" t="s">
        <v>29</v>
      </c>
      <c r="G38" s="2" t="s">
        <v>1603</v>
      </c>
      <c r="H38" s="2" t="s">
        <v>64</v>
      </c>
      <c r="I38" s="2" t="s">
        <v>1440</v>
      </c>
      <c r="J38" s="2" t="s">
        <v>1604</v>
      </c>
      <c r="K38" s="2" t="s">
        <v>1424</v>
      </c>
      <c r="L38" s="2" t="s">
        <v>1442</v>
      </c>
      <c r="M38" s="2" t="s">
        <v>108</v>
      </c>
      <c r="N38" s="2">
        <v>16</v>
      </c>
      <c r="O38" s="2" t="s">
        <v>1391</v>
      </c>
      <c r="P38" s="2" t="s">
        <v>1426</v>
      </c>
      <c r="Q38" s="2" t="s">
        <v>1381</v>
      </c>
      <c r="R38" s="2" t="s">
        <v>1382</v>
      </c>
      <c r="S38" s="2" t="s">
        <v>1605</v>
      </c>
      <c r="T38" s="2" t="s">
        <v>1606</v>
      </c>
      <c r="U38" s="3">
        <v>45915</v>
      </c>
      <c r="V38" s="3">
        <v>45918</v>
      </c>
      <c r="W38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0 años y 10 meses</v>
      </c>
    </row>
    <row r="39" spans="1:23">
      <c r="A39" s="2">
        <v>32</v>
      </c>
      <c r="B39" s="2" t="s">
        <v>1607</v>
      </c>
      <c r="C39" s="5" t="s">
        <v>253</v>
      </c>
      <c r="D39" s="5" t="s">
        <v>108</v>
      </c>
      <c r="E39" s="2" t="s">
        <v>51</v>
      </c>
      <c r="F39" s="5" t="s">
        <v>36</v>
      </c>
      <c r="G39" s="2" t="s">
        <v>1608</v>
      </c>
      <c r="H39" s="2" t="s">
        <v>64</v>
      </c>
      <c r="I39" s="2" t="s">
        <v>1452</v>
      </c>
      <c r="J39" s="2" t="s">
        <v>1609</v>
      </c>
      <c r="K39" s="2" t="s">
        <v>1377</v>
      </c>
      <c r="L39" s="2" t="s">
        <v>1413</v>
      </c>
      <c r="M39" s="2" t="s">
        <v>108</v>
      </c>
      <c r="N39" s="2">
        <v>16</v>
      </c>
      <c r="O39" s="2" t="s">
        <v>1379</v>
      </c>
      <c r="P39" s="2" t="s">
        <v>1415</v>
      </c>
      <c r="Q39" s="2" t="s">
        <v>1381</v>
      </c>
      <c r="R39" s="2" t="s">
        <v>1382</v>
      </c>
      <c r="S39" s="2" t="s">
        <v>1555</v>
      </c>
      <c r="T39" s="2" t="s">
        <v>1610</v>
      </c>
      <c r="U39" s="3">
        <v>45659</v>
      </c>
      <c r="V39" s="3">
        <v>45719</v>
      </c>
      <c r="W39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7 meses</v>
      </c>
    </row>
    <row r="40" spans="1:23">
      <c r="A40" s="2">
        <v>33</v>
      </c>
      <c r="B40" s="2" t="s">
        <v>1611</v>
      </c>
      <c r="C40" s="5" t="s">
        <v>258</v>
      </c>
      <c r="D40" s="5" t="s">
        <v>108</v>
      </c>
      <c r="E40" s="2" t="s">
        <v>51</v>
      </c>
      <c r="F40" s="5" t="s">
        <v>30</v>
      </c>
      <c r="G40" s="2" t="s">
        <v>1612</v>
      </c>
      <c r="H40" s="2" t="s">
        <v>64</v>
      </c>
      <c r="I40" s="2" t="s">
        <v>1440</v>
      </c>
      <c r="J40" s="2" t="s">
        <v>1613</v>
      </c>
      <c r="K40" s="2" t="s">
        <v>1424</v>
      </c>
      <c r="L40" s="2" t="s">
        <v>1442</v>
      </c>
      <c r="M40" s="2" t="s">
        <v>108</v>
      </c>
      <c r="N40" s="2">
        <v>32</v>
      </c>
      <c r="O40" s="2" t="s">
        <v>1391</v>
      </c>
      <c r="P40" s="2" t="s">
        <v>1426</v>
      </c>
      <c r="Q40" s="2" t="s">
        <v>1381</v>
      </c>
      <c r="R40" s="2" t="s">
        <v>1382</v>
      </c>
      <c r="S40" s="2" t="s">
        <v>1605</v>
      </c>
      <c r="T40" s="2" t="s">
        <v>1614</v>
      </c>
      <c r="U40" s="3">
        <v>45915</v>
      </c>
      <c r="V40" s="3">
        <v>45917</v>
      </c>
      <c r="W40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0 años y 10 meses</v>
      </c>
    </row>
    <row r="41" spans="1:23">
      <c r="A41" s="2">
        <v>34</v>
      </c>
      <c r="B41" s="2" t="s">
        <v>1615</v>
      </c>
      <c r="C41" s="5" t="s">
        <v>262</v>
      </c>
      <c r="D41" s="5" t="s">
        <v>108</v>
      </c>
      <c r="E41" s="2" t="s">
        <v>51</v>
      </c>
      <c r="F41" s="5" t="s">
        <v>27</v>
      </c>
      <c r="G41" s="2" t="s">
        <v>1616</v>
      </c>
      <c r="H41" s="2" t="s">
        <v>1386</v>
      </c>
      <c r="I41" s="2" t="s">
        <v>1617</v>
      </c>
      <c r="J41" s="2" t="s">
        <v>1618</v>
      </c>
      <c r="K41" s="2" t="s">
        <v>1424</v>
      </c>
      <c r="L41" s="2" t="s">
        <v>1619</v>
      </c>
      <c r="M41" s="2" t="s">
        <v>108</v>
      </c>
      <c r="N41" s="2">
        <v>32</v>
      </c>
      <c r="O41" s="2" t="s">
        <v>1379</v>
      </c>
      <c r="P41" s="2" t="s">
        <v>1415</v>
      </c>
      <c r="Q41" s="2" t="s">
        <v>1381</v>
      </c>
      <c r="R41" s="2" t="s">
        <v>1382</v>
      </c>
      <c r="S41" s="2" t="s">
        <v>1572</v>
      </c>
      <c r="T41" s="2" t="s">
        <v>1620</v>
      </c>
      <c r="U41" s="3">
        <v>45817</v>
      </c>
      <c r="V41" s="3">
        <v>45817</v>
      </c>
      <c r="W41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2 meses</v>
      </c>
    </row>
    <row r="42" spans="1:23">
      <c r="A42" s="2">
        <v>35</v>
      </c>
      <c r="B42" s="2" t="s">
        <v>1621</v>
      </c>
      <c r="C42" s="5" t="s">
        <v>268</v>
      </c>
      <c r="D42" s="5" t="s">
        <v>108</v>
      </c>
      <c r="E42" s="2" t="s">
        <v>51</v>
      </c>
      <c r="F42" s="5" t="s">
        <v>27</v>
      </c>
      <c r="G42" s="2" t="s">
        <v>1622</v>
      </c>
      <c r="H42" s="2" t="s">
        <v>64</v>
      </c>
      <c r="I42" s="2" t="s">
        <v>1411</v>
      </c>
      <c r="J42" s="2" t="s">
        <v>1623</v>
      </c>
      <c r="K42" s="2" t="s">
        <v>1377</v>
      </c>
      <c r="L42" s="2" t="s">
        <v>1413</v>
      </c>
      <c r="M42" s="2" t="s">
        <v>108</v>
      </c>
      <c r="N42" s="2">
        <v>16</v>
      </c>
      <c r="O42" s="2" t="s">
        <v>1379</v>
      </c>
      <c r="P42" s="2" t="s">
        <v>1415</v>
      </c>
      <c r="Q42" s="2" t="s">
        <v>1381</v>
      </c>
      <c r="R42" s="2" t="s">
        <v>1382</v>
      </c>
      <c r="S42" s="2" t="s">
        <v>1417</v>
      </c>
      <c r="T42" s="2" t="s">
        <v>1624</v>
      </c>
      <c r="U42" s="3">
        <v>45574</v>
      </c>
      <c r="V42" s="3">
        <v>45810</v>
      </c>
      <c r="W42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10 meses</v>
      </c>
    </row>
    <row r="43" spans="1:23">
      <c r="A43" s="2">
        <v>36</v>
      </c>
      <c r="B43" s="2" t="s">
        <v>1625</v>
      </c>
      <c r="C43" s="5" t="s">
        <v>126</v>
      </c>
      <c r="D43" s="5" t="s">
        <v>108</v>
      </c>
      <c r="E43" s="2" t="s">
        <v>51</v>
      </c>
      <c r="F43" s="5" t="s">
        <v>27</v>
      </c>
      <c r="G43" s="2" t="s">
        <v>1626</v>
      </c>
      <c r="H43" s="2" t="s">
        <v>64</v>
      </c>
      <c r="I43" s="2" t="s">
        <v>1535</v>
      </c>
      <c r="J43" s="2" t="s">
        <v>1627</v>
      </c>
      <c r="K43" s="2" t="s">
        <v>1398</v>
      </c>
      <c r="L43" s="2" t="s">
        <v>1537</v>
      </c>
      <c r="M43" s="2" t="s">
        <v>108</v>
      </c>
      <c r="N43" s="2">
        <v>16</v>
      </c>
      <c r="O43" s="2" t="s">
        <v>1379</v>
      </c>
      <c r="P43" s="2" t="s">
        <v>1415</v>
      </c>
      <c r="Q43" s="2" t="s">
        <v>1381</v>
      </c>
      <c r="R43" s="2" t="s">
        <v>1382</v>
      </c>
      <c r="S43" s="2" t="s">
        <v>1455</v>
      </c>
      <c r="T43" s="2" t="s">
        <v>1628</v>
      </c>
      <c r="U43" s="3">
        <v>45491</v>
      </c>
      <c r="V43" s="3">
        <v>45513</v>
      </c>
      <c r="W43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0 meses</v>
      </c>
    </row>
    <row r="44" spans="1:23">
      <c r="A44" s="2">
        <v>37</v>
      </c>
      <c r="B44" s="2" t="s">
        <v>1629</v>
      </c>
      <c r="C44" s="5" t="s">
        <v>275</v>
      </c>
      <c r="D44" s="5" t="s">
        <v>108</v>
      </c>
      <c r="E44" s="2" t="s">
        <v>51</v>
      </c>
      <c r="F44" s="5" t="s">
        <v>27</v>
      </c>
      <c r="G44" s="2" t="s">
        <v>1630</v>
      </c>
      <c r="H44" s="2" t="s">
        <v>1631</v>
      </c>
      <c r="I44" s="2" t="s">
        <v>1632</v>
      </c>
      <c r="J44" s="2" t="s">
        <v>1633</v>
      </c>
      <c r="K44" s="2" t="s">
        <v>1377</v>
      </c>
      <c r="L44" s="2" t="s">
        <v>1512</v>
      </c>
      <c r="M44" s="2" t="s">
        <v>108</v>
      </c>
      <c r="N44" s="2">
        <v>8</v>
      </c>
      <c r="O44" s="2" t="s">
        <v>1379</v>
      </c>
      <c r="P44" s="2" t="s">
        <v>1415</v>
      </c>
      <c r="Q44" s="2" t="s">
        <v>1381</v>
      </c>
      <c r="R44" s="2" t="s">
        <v>1382</v>
      </c>
      <c r="S44" s="2" t="s">
        <v>1634</v>
      </c>
      <c r="T44" s="2" t="s">
        <v>1635</v>
      </c>
      <c r="U44" s="3">
        <v>43640</v>
      </c>
      <c r="V44" s="3">
        <v>45797</v>
      </c>
      <c r="W44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7 años y 1 mes</v>
      </c>
    </row>
    <row r="45" spans="1:23">
      <c r="A45" s="2">
        <v>38</v>
      </c>
      <c r="B45" s="2" t="s">
        <v>1636</v>
      </c>
      <c r="C45" s="5" t="s">
        <v>280</v>
      </c>
      <c r="D45" s="5" t="s">
        <v>108</v>
      </c>
      <c r="E45" s="2" t="s">
        <v>51</v>
      </c>
      <c r="F45" s="5" t="s">
        <v>24</v>
      </c>
      <c r="G45" s="2" t="s">
        <v>1637</v>
      </c>
      <c r="H45" s="2" t="s">
        <v>64</v>
      </c>
      <c r="I45" s="2" t="s">
        <v>1638</v>
      </c>
      <c r="J45" s="2" t="s">
        <v>1639</v>
      </c>
      <c r="K45" s="2" t="s">
        <v>1461</v>
      </c>
      <c r="L45" s="2" t="s">
        <v>1640</v>
      </c>
      <c r="M45" s="2" t="s">
        <v>108</v>
      </c>
      <c r="N45" s="2">
        <v>8</v>
      </c>
      <c r="O45" s="2" t="s">
        <v>1379</v>
      </c>
      <c r="P45" s="2" t="s">
        <v>1415</v>
      </c>
      <c r="Q45" s="2" t="s">
        <v>1381</v>
      </c>
      <c r="R45" s="2" t="s">
        <v>1416</v>
      </c>
      <c r="S45" s="2" t="s">
        <v>1455</v>
      </c>
      <c r="T45" s="2" t="s">
        <v>1641</v>
      </c>
      <c r="U45" s="3">
        <v>45111</v>
      </c>
      <c r="V45" s="3">
        <v>45847</v>
      </c>
      <c r="W45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3 años y 1 mes</v>
      </c>
    </row>
    <row r="46" spans="1:23">
      <c r="A46" s="2">
        <v>39</v>
      </c>
      <c r="B46" s="2" t="s">
        <v>108</v>
      </c>
      <c r="C46" s="5" t="s">
        <v>280</v>
      </c>
      <c r="D46" s="5" t="s">
        <v>108</v>
      </c>
      <c r="E46" s="2" t="s">
        <v>50</v>
      </c>
      <c r="F46" s="5" t="s">
        <v>24</v>
      </c>
      <c r="G46" s="2" t="s">
        <v>1642</v>
      </c>
      <c r="H46" s="2" t="s">
        <v>64</v>
      </c>
      <c r="I46" s="2" t="s">
        <v>1643</v>
      </c>
      <c r="J46" s="2" t="s">
        <v>1644</v>
      </c>
      <c r="K46" s="2" t="s">
        <v>1377</v>
      </c>
      <c r="L46" s="2">
        <v>8700</v>
      </c>
      <c r="M46" s="2" t="s">
        <v>108</v>
      </c>
      <c r="N46" s="2">
        <v>16</v>
      </c>
      <c r="O46" s="2" t="s">
        <v>1379</v>
      </c>
      <c r="P46" s="2" t="s">
        <v>108</v>
      </c>
      <c r="Q46" s="2" t="s">
        <v>1381</v>
      </c>
      <c r="R46" s="2" t="s">
        <v>1382</v>
      </c>
      <c r="S46" s="2" t="s">
        <v>108</v>
      </c>
      <c r="T46" s="2" t="s">
        <v>108</v>
      </c>
      <c r="U46" s="3" t="s">
        <v>108</v>
      </c>
      <c r="V46" s="3">
        <v>45847</v>
      </c>
      <c r="W46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-</v>
      </c>
    </row>
    <row r="47" spans="1:23">
      <c r="A47" s="2">
        <v>40</v>
      </c>
      <c r="B47" s="2" t="s">
        <v>1645</v>
      </c>
      <c r="C47" s="5" t="s">
        <v>284</v>
      </c>
      <c r="D47" s="5" t="s">
        <v>108</v>
      </c>
      <c r="E47" s="2" t="s">
        <v>51</v>
      </c>
      <c r="F47" s="5" t="s">
        <v>22</v>
      </c>
      <c r="G47" s="2" t="s">
        <v>1646</v>
      </c>
      <c r="H47" s="2" t="s">
        <v>1386</v>
      </c>
      <c r="I47" s="2" t="s">
        <v>1396</v>
      </c>
      <c r="J47" s="2" t="s">
        <v>1647</v>
      </c>
      <c r="K47" s="2" t="s">
        <v>1398</v>
      </c>
      <c r="L47" s="2" t="s">
        <v>1399</v>
      </c>
      <c r="M47" s="2" t="s">
        <v>108</v>
      </c>
      <c r="N47" s="2">
        <v>16</v>
      </c>
      <c r="O47" s="2" t="s">
        <v>1379</v>
      </c>
      <c r="P47" s="2" t="s">
        <v>1380</v>
      </c>
      <c r="Q47" s="2" t="s">
        <v>1381</v>
      </c>
      <c r="R47" s="2" t="s">
        <v>1382</v>
      </c>
      <c r="S47" s="2" t="s">
        <v>1401</v>
      </c>
      <c r="T47" s="2" t="s">
        <v>1648</v>
      </c>
      <c r="U47" s="3">
        <v>44851</v>
      </c>
      <c r="V47" s="3">
        <v>44859</v>
      </c>
      <c r="W47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3 años y 9 meses</v>
      </c>
    </row>
    <row r="48" spans="1:23">
      <c r="A48" s="2">
        <v>41</v>
      </c>
      <c r="B48" s="2" t="s">
        <v>1649</v>
      </c>
      <c r="C48" s="5" t="s">
        <v>289</v>
      </c>
      <c r="D48" s="5" t="s">
        <v>108</v>
      </c>
      <c r="E48" s="2" t="s">
        <v>51</v>
      </c>
      <c r="F48" s="5" t="s">
        <v>22</v>
      </c>
      <c r="G48" s="2" t="s">
        <v>1650</v>
      </c>
      <c r="H48" s="2" t="s">
        <v>64</v>
      </c>
      <c r="I48" s="2" t="s">
        <v>1535</v>
      </c>
      <c r="J48" s="2" t="s">
        <v>1651</v>
      </c>
      <c r="K48" s="2" t="s">
        <v>1398</v>
      </c>
      <c r="L48" s="2" t="s">
        <v>1537</v>
      </c>
      <c r="M48" s="2" t="s">
        <v>108</v>
      </c>
      <c r="N48" s="2">
        <v>16</v>
      </c>
      <c r="O48" s="2" t="s">
        <v>1379</v>
      </c>
      <c r="P48" s="2" t="s">
        <v>1415</v>
      </c>
      <c r="Q48" s="2" t="s">
        <v>1381</v>
      </c>
      <c r="R48" s="2" t="s">
        <v>1382</v>
      </c>
      <c r="S48" s="2" t="s">
        <v>1455</v>
      </c>
      <c r="T48" s="2" t="s">
        <v>1652</v>
      </c>
      <c r="U48" s="3">
        <v>45491</v>
      </c>
      <c r="V48" s="3">
        <v>45810</v>
      </c>
      <c r="W48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0 meses</v>
      </c>
    </row>
    <row r="49" spans="1:23">
      <c r="A49" s="2">
        <v>42</v>
      </c>
      <c r="B49" s="2" t="s">
        <v>1653</v>
      </c>
      <c r="C49" s="5" t="s">
        <v>99</v>
      </c>
      <c r="D49" s="5" t="s">
        <v>108</v>
      </c>
      <c r="E49" s="2" t="s">
        <v>51</v>
      </c>
      <c r="F49" s="5" t="s">
        <v>24</v>
      </c>
      <c r="G49" s="2" t="s">
        <v>1654</v>
      </c>
      <c r="H49" s="2" t="s">
        <v>64</v>
      </c>
      <c r="I49" s="2" t="s">
        <v>1655</v>
      </c>
      <c r="J49" s="2" t="s">
        <v>1656</v>
      </c>
      <c r="K49" s="2" t="s">
        <v>1377</v>
      </c>
      <c r="L49" s="2" t="s">
        <v>1413</v>
      </c>
      <c r="M49" s="2" t="s">
        <v>108</v>
      </c>
      <c r="N49" s="2">
        <v>16</v>
      </c>
      <c r="O49" s="2" t="s">
        <v>1379</v>
      </c>
      <c r="P49" s="2" t="s">
        <v>1380</v>
      </c>
      <c r="Q49" s="2" t="s">
        <v>1381</v>
      </c>
      <c r="R49" s="2" t="s">
        <v>1382</v>
      </c>
      <c r="S49" s="2" t="s">
        <v>1417</v>
      </c>
      <c r="T49" s="2" t="s">
        <v>1657</v>
      </c>
      <c r="U49" s="3">
        <v>45659</v>
      </c>
      <c r="V49" s="3">
        <v>45924</v>
      </c>
      <c r="W49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7 meses</v>
      </c>
    </row>
    <row r="50" spans="1:23">
      <c r="A50" s="2">
        <v>100</v>
      </c>
      <c r="B50" s="2" t="s">
        <v>1658</v>
      </c>
      <c r="C50" s="5" t="s">
        <v>300</v>
      </c>
      <c r="D50" s="5" t="s">
        <v>108</v>
      </c>
      <c r="E50" s="2" t="s">
        <v>51</v>
      </c>
      <c r="F50" s="5" t="s">
        <v>27</v>
      </c>
      <c r="G50" s="2" t="s">
        <v>1659</v>
      </c>
      <c r="H50" s="2" t="s">
        <v>64</v>
      </c>
      <c r="I50" s="2" t="s">
        <v>1459</v>
      </c>
      <c r="J50" s="2" t="s">
        <v>1660</v>
      </c>
      <c r="K50" s="2" t="s">
        <v>1461</v>
      </c>
      <c r="L50" s="2" t="s">
        <v>1560</v>
      </c>
      <c r="M50" s="2" t="s">
        <v>108</v>
      </c>
      <c r="N50" s="2">
        <v>8</v>
      </c>
      <c r="O50" s="2" t="s">
        <v>1379</v>
      </c>
      <c r="P50" s="2" t="s">
        <v>1415</v>
      </c>
      <c r="Q50" s="2" t="s">
        <v>1381</v>
      </c>
      <c r="R50" s="2" t="s">
        <v>1416</v>
      </c>
      <c r="S50" s="2" t="s">
        <v>1455</v>
      </c>
      <c r="T50" s="2" t="s">
        <v>1661</v>
      </c>
      <c r="U50" s="3">
        <v>45016</v>
      </c>
      <c r="V50" s="3">
        <v>45813</v>
      </c>
      <c r="W50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3 años y 4 meses</v>
      </c>
    </row>
    <row r="51" spans="1:23">
      <c r="A51" s="2">
        <v>43</v>
      </c>
      <c r="B51" s="2" t="s">
        <v>1431</v>
      </c>
      <c r="C51" s="5" t="s">
        <v>305</v>
      </c>
      <c r="D51" s="5" t="s">
        <v>108</v>
      </c>
      <c r="E51" s="2" t="s">
        <v>51</v>
      </c>
      <c r="F51" s="5" t="s">
        <v>25</v>
      </c>
      <c r="G51" s="2" t="s">
        <v>1662</v>
      </c>
      <c r="H51" s="2" t="s">
        <v>64</v>
      </c>
      <c r="I51" s="2" t="s">
        <v>1433</v>
      </c>
      <c r="J51" s="2" t="s">
        <v>1663</v>
      </c>
      <c r="K51" s="2" t="s">
        <v>1398</v>
      </c>
      <c r="L51" s="2" t="s">
        <v>1435</v>
      </c>
      <c r="M51" s="2" t="s">
        <v>108</v>
      </c>
      <c r="N51" s="2">
        <v>16</v>
      </c>
      <c r="O51" s="2" t="s">
        <v>1379</v>
      </c>
      <c r="P51" s="2" t="s">
        <v>1380</v>
      </c>
      <c r="Q51" s="2" t="s">
        <v>1381</v>
      </c>
      <c r="R51" s="2" t="s">
        <v>1382</v>
      </c>
      <c r="S51" s="2" t="s">
        <v>1555</v>
      </c>
      <c r="T51" s="2" t="s">
        <v>1664</v>
      </c>
      <c r="U51" s="3">
        <v>44484</v>
      </c>
      <c r="V51" s="3">
        <v>46086</v>
      </c>
      <c r="W51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4 años y 9 meses</v>
      </c>
    </row>
    <row r="52" spans="1:23">
      <c r="A52" s="2">
        <v>44</v>
      </c>
      <c r="B52" s="2" t="s">
        <v>1665</v>
      </c>
      <c r="C52" s="5" t="s">
        <v>309</v>
      </c>
      <c r="D52" s="5" t="s">
        <v>108</v>
      </c>
      <c r="E52" s="2" t="s">
        <v>51</v>
      </c>
      <c r="F52" s="5" t="s">
        <v>40</v>
      </c>
      <c r="G52" s="2" t="s">
        <v>1666</v>
      </c>
      <c r="H52" s="2" t="s">
        <v>64</v>
      </c>
      <c r="I52" s="2" t="s">
        <v>1440</v>
      </c>
      <c r="J52" s="2" t="s">
        <v>1667</v>
      </c>
      <c r="K52" s="2" t="s">
        <v>1424</v>
      </c>
      <c r="L52" s="2" t="s">
        <v>1442</v>
      </c>
      <c r="M52" s="2" t="s">
        <v>108</v>
      </c>
      <c r="N52" s="2">
        <v>16</v>
      </c>
      <c r="O52" s="2" t="s">
        <v>1391</v>
      </c>
      <c r="P52" s="2" t="s">
        <v>1426</v>
      </c>
      <c r="Q52" s="2" t="s">
        <v>1381</v>
      </c>
      <c r="R52" s="2" t="s">
        <v>1382</v>
      </c>
      <c r="S52" s="2" t="s">
        <v>1443</v>
      </c>
      <c r="T52" s="2" t="s">
        <v>1668</v>
      </c>
      <c r="U52" s="3">
        <v>45726</v>
      </c>
      <c r="V52" s="3">
        <v>45736</v>
      </c>
      <c r="W52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5 meses</v>
      </c>
    </row>
    <row r="53" spans="1:23">
      <c r="A53" s="2">
        <v>172</v>
      </c>
      <c r="B53" s="2" t="s">
        <v>1669</v>
      </c>
      <c r="C53" s="5" t="s">
        <v>314</v>
      </c>
      <c r="D53" s="5" t="s">
        <v>108</v>
      </c>
      <c r="E53" s="2" t="s">
        <v>51</v>
      </c>
      <c r="F53" s="5" t="s">
        <v>39</v>
      </c>
      <c r="G53" s="2" t="s">
        <v>1670</v>
      </c>
      <c r="H53" s="2" t="s">
        <v>1386</v>
      </c>
      <c r="I53" s="2" t="s">
        <v>1671</v>
      </c>
      <c r="J53" s="2" t="s">
        <v>1672</v>
      </c>
      <c r="K53" s="2" t="s">
        <v>1599</v>
      </c>
      <c r="L53" s="2" t="s">
        <v>1425</v>
      </c>
      <c r="M53" s="2" t="s">
        <v>108</v>
      </c>
      <c r="N53" s="2">
        <v>16</v>
      </c>
      <c r="O53" s="2" t="s">
        <v>1391</v>
      </c>
      <c r="P53" s="2" t="s">
        <v>1415</v>
      </c>
      <c r="Q53" s="2" t="s">
        <v>1381</v>
      </c>
      <c r="R53" s="2" t="s">
        <v>1382</v>
      </c>
      <c r="S53" s="2" t="s">
        <v>1572</v>
      </c>
      <c r="T53" s="2" t="s">
        <v>1673</v>
      </c>
      <c r="U53" s="3" t="s">
        <v>1429</v>
      </c>
      <c r="V53" s="2" t="s">
        <v>108</v>
      </c>
      <c r="W53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-</v>
      </c>
    </row>
    <row r="54" spans="1:23">
      <c r="A54" s="2">
        <v>46</v>
      </c>
      <c r="B54" s="2" t="s">
        <v>1674</v>
      </c>
      <c r="C54" s="5" t="s">
        <v>320</v>
      </c>
      <c r="D54" s="5" t="s">
        <v>108</v>
      </c>
      <c r="E54" s="2" t="s">
        <v>51</v>
      </c>
      <c r="F54" s="5" t="s">
        <v>34</v>
      </c>
      <c r="G54" s="2" t="s">
        <v>1675</v>
      </c>
      <c r="H54" s="2" t="s">
        <v>1386</v>
      </c>
      <c r="I54" s="2" t="s">
        <v>1676</v>
      </c>
      <c r="J54" s="2" t="s">
        <v>1677</v>
      </c>
      <c r="K54" s="2" t="s">
        <v>1424</v>
      </c>
      <c r="L54" s="2" t="s">
        <v>1442</v>
      </c>
      <c r="M54" s="2" t="s">
        <v>108</v>
      </c>
      <c r="N54" s="2">
        <v>32</v>
      </c>
      <c r="O54" s="2" t="s">
        <v>1391</v>
      </c>
      <c r="P54" s="2" t="s">
        <v>1415</v>
      </c>
      <c r="Q54" s="2" t="s">
        <v>1381</v>
      </c>
      <c r="R54" s="2" t="s">
        <v>1382</v>
      </c>
      <c r="S54" s="2" t="s">
        <v>1401</v>
      </c>
      <c r="T54" s="2" t="s">
        <v>1678</v>
      </c>
      <c r="U54" s="3">
        <v>45791</v>
      </c>
      <c r="V54" s="3">
        <v>45814</v>
      </c>
      <c r="W54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2 meses</v>
      </c>
    </row>
    <row r="55" spans="1:23">
      <c r="A55" s="2">
        <v>47</v>
      </c>
      <c r="B55" s="2" t="s">
        <v>1679</v>
      </c>
      <c r="C55" s="5" t="s">
        <v>324</v>
      </c>
      <c r="D55" s="5" t="s">
        <v>108</v>
      </c>
      <c r="E55" s="2" t="s">
        <v>51</v>
      </c>
      <c r="F55" s="5" t="s">
        <v>27</v>
      </c>
      <c r="G55" s="2" t="s">
        <v>1680</v>
      </c>
      <c r="H55" s="2" t="s">
        <v>64</v>
      </c>
      <c r="I55" s="2" t="s">
        <v>1523</v>
      </c>
      <c r="J55" s="2" t="s">
        <v>1681</v>
      </c>
      <c r="K55" s="2" t="s">
        <v>1398</v>
      </c>
      <c r="L55" s="2" t="s">
        <v>1537</v>
      </c>
      <c r="M55" s="2" t="s">
        <v>108</v>
      </c>
      <c r="N55" s="2">
        <v>8</v>
      </c>
      <c r="O55" s="2" t="s">
        <v>1379</v>
      </c>
      <c r="P55" s="2" t="s">
        <v>1415</v>
      </c>
      <c r="Q55" s="2" t="s">
        <v>1381</v>
      </c>
      <c r="R55" s="2" t="s">
        <v>1416</v>
      </c>
      <c r="S55" s="2" t="s">
        <v>1682</v>
      </c>
      <c r="T55" s="2" t="s">
        <v>1683</v>
      </c>
      <c r="U55" s="3">
        <v>45261</v>
      </c>
      <c r="V55" s="3">
        <v>45287</v>
      </c>
      <c r="W55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8 meses</v>
      </c>
    </row>
    <row r="56" spans="1:23">
      <c r="A56" s="2">
        <v>48</v>
      </c>
      <c r="B56" s="2" t="s">
        <v>1684</v>
      </c>
      <c r="C56" s="5" t="s">
        <v>328</v>
      </c>
      <c r="D56" s="5" t="s">
        <v>108</v>
      </c>
      <c r="E56" s="2" t="s">
        <v>51</v>
      </c>
      <c r="F56" s="5" t="s">
        <v>27</v>
      </c>
      <c r="G56" s="2" t="s">
        <v>1685</v>
      </c>
      <c r="H56" s="2" t="s">
        <v>64</v>
      </c>
      <c r="I56" s="2" t="s">
        <v>1523</v>
      </c>
      <c r="J56" s="2" t="s">
        <v>1686</v>
      </c>
      <c r="K56" s="2" t="s">
        <v>1398</v>
      </c>
      <c r="L56" s="2" t="s">
        <v>1525</v>
      </c>
      <c r="M56" s="2" t="s">
        <v>108</v>
      </c>
      <c r="N56" s="2">
        <v>16</v>
      </c>
      <c r="O56" s="2" t="s">
        <v>1379</v>
      </c>
      <c r="P56" s="2" t="s">
        <v>1415</v>
      </c>
      <c r="Q56" s="2" t="s">
        <v>1381</v>
      </c>
      <c r="R56" s="2" t="s">
        <v>1416</v>
      </c>
      <c r="S56" s="2" t="s">
        <v>1555</v>
      </c>
      <c r="T56" s="2" t="s">
        <v>1687</v>
      </c>
      <c r="U56" s="3">
        <v>45286</v>
      </c>
      <c r="V56" s="3">
        <v>46091</v>
      </c>
      <c r="W56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7 meses</v>
      </c>
    </row>
    <row r="57" spans="1:23">
      <c r="A57" s="2">
        <v>51</v>
      </c>
      <c r="B57" s="2" t="s">
        <v>1688</v>
      </c>
      <c r="C57" s="5" t="s">
        <v>336</v>
      </c>
      <c r="D57" s="5" t="s">
        <v>108</v>
      </c>
      <c r="E57" s="2" t="s">
        <v>51</v>
      </c>
      <c r="F57" s="5" t="s">
        <v>41</v>
      </c>
      <c r="G57" s="2" t="s">
        <v>1689</v>
      </c>
      <c r="H57" s="2" t="s">
        <v>64</v>
      </c>
      <c r="I57" s="2" t="s">
        <v>1655</v>
      </c>
      <c r="J57" s="2" t="s">
        <v>1690</v>
      </c>
      <c r="K57" s="2" t="s">
        <v>1377</v>
      </c>
      <c r="L57" s="2" t="s">
        <v>1413</v>
      </c>
      <c r="M57" s="2" t="s">
        <v>108</v>
      </c>
      <c r="N57" s="2">
        <v>16</v>
      </c>
      <c r="O57" s="2" t="s">
        <v>1379</v>
      </c>
      <c r="P57" s="2" t="s">
        <v>1380</v>
      </c>
      <c r="Q57" s="2" t="s">
        <v>1381</v>
      </c>
      <c r="R57" s="2" t="s">
        <v>1382</v>
      </c>
      <c r="S57" s="2" t="s">
        <v>1417</v>
      </c>
      <c r="T57" s="2" t="s">
        <v>1691</v>
      </c>
      <c r="U57" s="3">
        <v>45659</v>
      </c>
      <c r="V57" s="3">
        <v>45665</v>
      </c>
      <c r="W57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7 meses</v>
      </c>
    </row>
    <row r="58" spans="1:23">
      <c r="A58" s="2">
        <v>52</v>
      </c>
      <c r="B58" s="2" t="s">
        <v>1692</v>
      </c>
      <c r="C58" s="5" t="s">
        <v>341</v>
      </c>
      <c r="D58" s="5" t="s">
        <v>108</v>
      </c>
      <c r="E58" s="2" t="s">
        <v>51</v>
      </c>
      <c r="F58" s="5" t="s">
        <v>27</v>
      </c>
      <c r="G58" s="2" t="s">
        <v>1693</v>
      </c>
      <c r="H58" s="2" t="s">
        <v>64</v>
      </c>
      <c r="I58" s="2" t="s">
        <v>1523</v>
      </c>
      <c r="J58" s="2" t="s">
        <v>1694</v>
      </c>
      <c r="K58" s="2" t="s">
        <v>1398</v>
      </c>
      <c r="L58" s="2" t="s">
        <v>1525</v>
      </c>
      <c r="M58" s="2" t="s">
        <v>108</v>
      </c>
      <c r="N58" s="2">
        <v>8</v>
      </c>
      <c r="O58" s="2" t="s">
        <v>1379</v>
      </c>
      <c r="P58" s="2" t="s">
        <v>1415</v>
      </c>
      <c r="Q58" s="2" t="s">
        <v>1381</v>
      </c>
      <c r="R58" s="2" t="s">
        <v>1416</v>
      </c>
      <c r="S58" s="2" t="s">
        <v>1555</v>
      </c>
      <c r="T58" s="2" t="s">
        <v>1695</v>
      </c>
      <c r="U58" s="3">
        <v>45261</v>
      </c>
      <c r="V58" s="3">
        <v>45331</v>
      </c>
      <c r="W58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8 meses</v>
      </c>
    </row>
    <row r="59" spans="1:23">
      <c r="A59" s="2">
        <v>53</v>
      </c>
      <c r="B59" s="2" t="s">
        <v>1696</v>
      </c>
      <c r="C59" s="5" t="s">
        <v>345</v>
      </c>
      <c r="D59" s="5" t="s">
        <v>108</v>
      </c>
      <c r="E59" s="2" t="s">
        <v>51</v>
      </c>
      <c r="F59" s="5" t="s">
        <v>41</v>
      </c>
      <c r="G59" s="2" t="s">
        <v>1697</v>
      </c>
      <c r="H59" s="2" t="s">
        <v>1386</v>
      </c>
      <c r="I59" s="2" t="s">
        <v>1617</v>
      </c>
      <c r="J59" s="2" t="s">
        <v>1698</v>
      </c>
      <c r="K59" s="2" t="s">
        <v>1424</v>
      </c>
      <c r="L59" s="2" t="s">
        <v>1699</v>
      </c>
      <c r="M59" s="2" t="s">
        <v>108</v>
      </c>
      <c r="N59" s="2">
        <v>32</v>
      </c>
      <c r="O59" s="2" t="s">
        <v>1391</v>
      </c>
      <c r="P59" s="2" t="s">
        <v>1415</v>
      </c>
      <c r="Q59" s="2" t="s">
        <v>1381</v>
      </c>
      <c r="R59" s="2" t="s">
        <v>1382</v>
      </c>
      <c r="S59" s="2" t="s">
        <v>1700</v>
      </c>
      <c r="T59" s="2" t="s">
        <v>1701</v>
      </c>
      <c r="U59" s="3">
        <v>45548</v>
      </c>
      <c r="V59" s="3">
        <v>45565</v>
      </c>
      <c r="W59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10 meses</v>
      </c>
    </row>
    <row r="60" spans="1:23">
      <c r="A60" s="2">
        <v>54</v>
      </c>
      <c r="B60" s="2" t="s">
        <v>1702</v>
      </c>
      <c r="C60" s="5" t="s">
        <v>350</v>
      </c>
      <c r="D60" s="5" t="s">
        <v>108</v>
      </c>
      <c r="E60" s="2" t="s">
        <v>51</v>
      </c>
      <c r="F60" s="5" t="s">
        <v>21</v>
      </c>
      <c r="G60" s="2" t="s">
        <v>1703</v>
      </c>
      <c r="H60" s="2" t="s">
        <v>64</v>
      </c>
      <c r="I60" s="2" t="s">
        <v>1411</v>
      </c>
      <c r="J60" s="2" t="s">
        <v>1704</v>
      </c>
      <c r="K60" s="2" t="s">
        <v>1377</v>
      </c>
      <c r="L60" s="2" t="s">
        <v>1413</v>
      </c>
      <c r="M60" s="2" t="s">
        <v>108</v>
      </c>
      <c r="N60" s="2">
        <v>16</v>
      </c>
      <c r="O60" s="2" t="s">
        <v>1379</v>
      </c>
      <c r="P60" s="2" t="s">
        <v>1415</v>
      </c>
      <c r="Q60" s="2" t="s">
        <v>1381</v>
      </c>
      <c r="R60" s="2" t="s">
        <v>1416</v>
      </c>
      <c r="S60" s="2" t="s">
        <v>1417</v>
      </c>
      <c r="T60" s="2" t="s">
        <v>1705</v>
      </c>
      <c r="U60" s="3">
        <v>45559</v>
      </c>
      <c r="V60" s="3">
        <v>45800</v>
      </c>
      <c r="W60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10 meses</v>
      </c>
    </row>
    <row r="61" spans="1:23">
      <c r="A61" s="2">
        <v>55</v>
      </c>
      <c r="B61" s="2" t="s">
        <v>1706</v>
      </c>
      <c r="C61" s="5" t="s">
        <v>361</v>
      </c>
      <c r="D61" s="5" t="s">
        <v>108</v>
      </c>
      <c r="E61" s="2" t="s">
        <v>51</v>
      </c>
      <c r="F61" s="5" t="s">
        <v>27</v>
      </c>
      <c r="G61" s="2" t="s">
        <v>1707</v>
      </c>
      <c r="H61" s="2" t="s">
        <v>64</v>
      </c>
      <c r="I61" s="2" t="s">
        <v>1452</v>
      </c>
      <c r="J61" s="2" t="s">
        <v>1708</v>
      </c>
      <c r="K61" s="2" t="s">
        <v>1398</v>
      </c>
      <c r="L61" s="2" t="s">
        <v>1454</v>
      </c>
      <c r="M61" s="2" t="s">
        <v>108</v>
      </c>
      <c r="N61" s="2">
        <v>16</v>
      </c>
      <c r="O61" s="2" t="s">
        <v>1379</v>
      </c>
      <c r="P61" s="2" t="s">
        <v>1415</v>
      </c>
      <c r="Q61" s="2" t="s">
        <v>1381</v>
      </c>
      <c r="R61" s="2" t="s">
        <v>1416</v>
      </c>
      <c r="S61" s="2" t="s">
        <v>1555</v>
      </c>
      <c r="T61" s="2" t="s">
        <v>1709</v>
      </c>
      <c r="U61" s="3">
        <v>45659</v>
      </c>
      <c r="V61" s="3">
        <v>45691</v>
      </c>
      <c r="W61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7 meses</v>
      </c>
    </row>
    <row r="62" spans="1:23">
      <c r="A62" s="2">
        <v>56</v>
      </c>
      <c r="B62" s="2" t="s">
        <v>108</v>
      </c>
      <c r="C62" s="5" t="s">
        <v>365</v>
      </c>
      <c r="D62" s="5" t="s">
        <v>108</v>
      </c>
      <c r="E62" s="2" t="s">
        <v>51</v>
      </c>
      <c r="F62" s="5" t="s">
        <v>25</v>
      </c>
      <c r="G62" s="2" t="s">
        <v>1710</v>
      </c>
      <c r="H62" s="2" t="s">
        <v>64</v>
      </c>
      <c r="I62" s="2" t="s">
        <v>1711</v>
      </c>
      <c r="J62" s="2" t="s">
        <v>1712</v>
      </c>
      <c r="K62" s="2" t="s">
        <v>1398</v>
      </c>
      <c r="L62" s="2" t="s">
        <v>1473</v>
      </c>
      <c r="M62" s="2" t="s">
        <v>108</v>
      </c>
      <c r="N62" s="2">
        <v>16</v>
      </c>
      <c r="O62" s="2" t="s">
        <v>1379</v>
      </c>
      <c r="P62" s="2" t="s">
        <v>1380</v>
      </c>
      <c r="Q62" s="2" t="s">
        <v>1381</v>
      </c>
      <c r="R62" s="2" t="s">
        <v>1382</v>
      </c>
      <c r="S62" s="2" t="s">
        <v>1474</v>
      </c>
      <c r="T62" s="2" t="s">
        <v>1713</v>
      </c>
      <c r="U62" s="3">
        <v>44078</v>
      </c>
      <c r="V62" s="3">
        <v>45756</v>
      </c>
      <c r="W62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5 años y 11 meses</v>
      </c>
    </row>
    <row r="63" spans="1:23">
      <c r="A63" s="2">
        <v>57</v>
      </c>
      <c r="B63" s="2" t="s">
        <v>1714</v>
      </c>
      <c r="C63" s="5" t="s">
        <v>365</v>
      </c>
      <c r="D63" s="5" t="s">
        <v>108</v>
      </c>
      <c r="E63" s="2" t="s">
        <v>51</v>
      </c>
      <c r="F63" s="5" t="s">
        <v>25</v>
      </c>
      <c r="G63" s="2" t="s">
        <v>1715</v>
      </c>
      <c r="H63" s="2" t="s">
        <v>64</v>
      </c>
      <c r="I63" s="2" t="s">
        <v>1711</v>
      </c>
      <c r="J63" s="2" t="s">
        <v>1716</v>
      </c>
      <c r="K63" s="2" t="s">
        <v>1377</v>
      </c>
      <c r="L63" s="2" t="s">
        <v>1717</v>
      </c>
      <c r="M63" s="2" t="s">
        <v>108</v>
      </c>
      <c r="N63" s="2">
        <v>16</v>
      </c>
      <c r="O63" s="2" t="s">
        <v>1391</v>
      </c>
      <c r="P63" s="2" t="s">
        <v>1380</v>
      </c>
      <c r="Q63" s="2" t="s">
        <v>1381</v>
      </c>
      <c r="R63" s="2" t="s">
        <v>1382</v>
      </c>
      <c r="S63" s="2" t="s">
        <v>1544</v>
      </c>
      <c r="T63" s="2" t="s">
        <v>1718</v>
      </c>
      <c r="U63" s="3">
        <v>44075</v>
      </c>
      <c r="V63" s="3">
        <v>46049</v>
      </c>
      <c r="W63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5 años y 11 meses</v>
      </c>
    </row>
    <row r="64" spans="1:23">
      <c r="A64" s="2">
        <v>58</v>
      </c>
      <c r="B64" s="2" t="s">
        <v>1719</v>
      </c>
      <c r="C64" s="5" t="s">
        <v>365</v>
      </c>
      <c r="D64" s="5" t="s">
        <v>108</v>
      </c>
      <c r="E64" s="2" t="s">
        <v>51</v>
      </c>
      <c r="F64" s="5" t="s">
        <v>25</v>
      </c>
      <c r="G64" s="2" t="s">
        <v>1720</v>
      </c>
      <c r="H64" s="2" t="s">
        <v>1386</v>
      </c>
      <c r="I64" s="2" t="s">
        <v>1569</v>
      </c>
      <c r="J64" s="2" t="s">
        <v>1721</v>
      </c>
      <c r="K64" s="2" t="s">
        <v>1599</v>
      </c>
      <c r="L64" s="2" t="s">
        <v>1600</v>
      </c>
      <c r="M64" s="2" t="s">
        <v>108</v>
      </c>
      <c r="N64" s="2">
        <v>16</v>
      </c>
      <c r="O64" s="2" t="s">
        <v>1391</v>
      </c>
      <c r="P64" s="2" t="s">
        <v>1426</v>
      </c>
      <c r="Q64" s="2" t="s">
        <v>1381</v>
      </c>
      <c r="R64" s="2" t="s">
        <v>1382</v>
      </c>
      <c r="S64" s="2" t="s">
        <v>1572</v>
      </c>
      <c r="T64" s="2" t="s">
        <v>1722</v>
      </c>
      <c r="U64" s="3">
        <v>46055</v>
      </c>
      <c r="V64" s="3">
        <v>46079</v>
      </c>
      <c r="W64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0 años y 6 meses</v>
      </c>
    </row>
    <row r="65" spans="1:23">
      <c r="A65" s="2">
        <v>59</v>
      </c>
      <c r="B65" s="2" t="s">
        <v>1723</v>
      </c>
      <c r="C65" s="5" t="s">
        <v>370</v>
      </c>
      <c r="D65" s="5" t="s">
        <v>108</v>
      </c>
      <c r="E65" s="2" t="s">
        <v>51</v>
      </c>
      <c r="F65" s="5" t="s">
        <v>36</v>
      </c>
      <c r="G65" s="2" t="s">
        <v>1724</v>
      </c>
      <c r="H65" s="2" t="s">
        <v>1386</v>
      </c>
      <c r="I65" s="2" t="s">
        <v>1725</v>
      </c>
      <c r="J65" s="2" t="s">
        <v>1726</v>
      </c>
      <c r="K65" s="2" t="s">
        <v>1377</v>
      </c>
      <c r="L65" s="2" t="s">
        <v>1389</v>
      </c>
      <c r="M65" s="2" t="s">
        <v>108</v>
      </c>
      <c r="N65" s="2">
        <v>16</v>
      </c>
      <c r="O65" s="2" t="s">
        <v>1379</v>
      </c>
      <c r="P65" s="2" t="s">
        <v>1415</v>
      </c>
      <c r="Q65" s="2" t="s">
        <v>1381</v>
      </c>
      <c r="R65" s="2" t="s">
        <v>1382</v>
      </c>
      <c r="S65" s="2" t="s">
        <v>1401</v>
      </c>
      <c r="T65" s="2" t="s">
        <v>1727</v>
      </c>
      <c r="U65" s="3">
        <v>44916</v>
      </c>
      <c r="V65" s="3">
        <v>45289</v>
      </c>
      <c r="W65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3 años y 7 meses</v>
      </c>
    </row>
    <row r="66" spans="1:23">
      <c r="A66" s="2">
        <v>60</v>
      </c>
      <c r="B66" s="2" t="s">
        <v>1728</v>
      </c>
      <c r="C66" s="5" t="s">
        <v>384</v>
      </c>
      <c r="D66" s="5" t="s">
        <v>108</v>
      </c>
      <c r="E66" s="2" t="s">
        <v>51</v>
      </c>
      <c r="F66" s="5" t="s">
        <v>27</v>
      </c>
      <c r="G66" s="2" t="s">
        <v>1729</v>
      </c>
      <c r="H66" s="2" t="s">
        <v>64</v>
      </c>
      <c r="I66" s="2" t="s">
        <v>1447</v>
      </c>
      <c r="J66" s="2" t="s">
        <v>1730</v>
      </c>
      <c r="K66" s="2" t="s">
        <v>1599</v>
      </c>
      <c r="L66" s="2" t="s">
        <v>1731</v>
      </c>
      <c r="M66" s="2" t="s">
        <v>108</v>
      </c>
      <c r="N66" s="2">
        <v>16</v>
      </c>
      <c r="O66" s="2" t="s">
        <v>1379</v>
      </c>
      <c r="P66" s="2" t="s">
        <v>1415</v>
      </c>
      <c r="Q66" s="2" t="s">
        <v>1381</v>
      </c>
      <c r="R66" s="2" t="s">
        <v>1382</v>
      </c>
      <c r="S66" s="2" t="s">
        <v>1443</v>
      </c>
      <c r="T66" s="2" t="s">
        <v>1732</v>
      </c>
      <c r="U66" s="3">
        <v>45806</v>
      </c>
      <c r="V66" s="3">
        <v>45814</v>
      </c>
      <c r="W66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2 meses</v>
      </c>
    </row>
    <row r="67" spans="1:23">
      <c r="A67" s="2">
        <v>62</v>
      </c>
      <c r="B67" s="2" t="s">
        <v>1733</v>
      </c>
      <c r="C67" s="5" t="s">
        <v>392</v>
      </c>
      <c r="D67" s="5" t="s">
        <v>108</v>
      </c>
      <c r="E67" s="2" t="s">
        <v>51</v>
      </c>
      <c r="F67" s="5" t="s">
        <v>22</v>
      </c>
      <c r="G67" s="2" t="s">
        <v>1734</v>
      </c>
      <c r="H67" s="2" t="s">
        <v>64</v>
      </c>
      <c r="I67" s="2" t="s">
        <v>1452</v>
      </c>
      <c r="J67" s="2" t="s">
        <v>1735</v>
      </c>
      <c r="K67" s="2" t="s">
        <v>1398</v>
      </c>
      <c r="L67" s="2" t="s">
        <v>1454</v>
      </c>
      <c r="M67" s="2" t="s">
        <v>108</v>
      </c>
      <c r="N67" s="2">
        <v>16</v>
      </c>
      <c r="O67" s="2" t="s">
        <v>1379</v>
      </c>
      <c r="P67" s="2" t="s">
        <v>1415</v>
      </c>
      <c r="Q67" s="2" t="s">
        <v>1381</v>
      </c>
      <c r="R67" s="2" t="s">
        <v>1382</v>
      </c>
      <c r="S67" s="2" t="s">
        <v>1555</v>
      </c>
      <c r="T67" s="2" t="s">
        <v>1736</v>
      </c>
      <c r="U67" s="3">
        <v>45659</v>
      </c>
      <c r="V67" s="3">
        <v>45684</v>
      </c>
      <c r="W67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7 meses</v>
      </c>
    </row>
    <row r="68" spans="1:23">
      <c r="A68" s="2">
        <v>63</v>
      </c>
      <c r="B68" s="2" t="s">
        <v>1737</v>
      </c>
      <c r="C68" s="5" t="s">
        <v>396</v>
      </c>
      <c r="D68" s="5" t="s">
        <v>108</v>
      </c>
      <c r="E68" s="2" t="s">
        <v>51</v>
      </c>
      <c r="F68" s="5" t="s">
        <v>42</v>
      </c>
      <c r="G68" s="2" t="s">
        <v>1738</v>
      </c>
      <c r="H68" s="2" t="s">
        <v>1631</v>
      </c>
      <c r="I68" s="2" t="s">
        <v>1632</v>
      </c>
      <c r="J68" s="2" t="s">
        <v>1739</v>
      </c>
      <c r="K68" s="2" t="s">
        <v>1377</v>
      </c>
      <c r="L68" s="2" t="s">
        <v>1740</v>
      </c>
      <c r="M68" s="2" t="s">
        <v>108</v>
      </c>
      <c r="N68" s="2">
        <v>32</v>
      </c>
      <c r="O68" s="2" t="s">
        <v>1391</v>
      </c>
      <c r="P68" s="2" t="s">
        <v>1415</v>
      </c>
      <c r="Q68" s="2" t="s">
        <v>1381</v>
      </c>
      <c r="R68" s="2" t="s">
        <v>1382</v>
      </c>
      <c r="S68" s="2" t="s">
        <v>1634</v>
      </c>
      <c r="T68" s="2" t="s">
        <v>1635</v>
      </c>
      <c r="U68" s="3">
        <v>43147</v>
      </c>
      <c r="V68" s="2" t="s">
        <v>108</v>
      </c>
      <c r="W68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8 años y 5 meses</v>
      </c>
    </row>
    <row r="69" spans="1:23">
      <c r="A69" s="2">
        <v>64</v>
      </c>
      <c r="B69" s="2" t="s">
        <v>1741</v>
      </c>
      <c r="C69" s="5" t="s">
        <v>396</v>
      </c>
      <c r="D69" s="5" t="s">
        <v>108</v>
      </c>
      <c r="E69" s="2" t="s">
        <v>51</v>
      </c>
      <c r="F69" s="5" t="s">
        <v>42</v>
      </c>
      <c r="G69" s="2" t="s">
        <v>1742</v>
      </c>
      <c r="H69" s="2" t="s">
        <v>1386</v>
      </c>
      <c r="I69" s="2" t="s">
        <v>1743</v>
      </c>
      <c r="J69" s="2" t="s">
        <v>1744</v>
      </c>
      <c r="K69" s="2" t="s">
        <v>1424</v>
      </c>
      <c r="L69" s="2" t="s">
        <v>1619</v>
      </c>
      <c r="M69" s="2" t="s">
        <v>108</v>
      </c>
      <c r="N69" s="2">
        <v>32</v>
      </c>
      <c r="O69" s="2" t="s">
        <v>1391</v>
      </c>
      <c r="P69" s="2" t="s">
        <v>1426</v>
      </c>
      <c r="Q69" s="2" t="s">
        <v>1381</v>
      </c>
      <c r="R69" s="2" t="s">
        <v>1382</v>
      </c>
      <c r="S69" s="2" t="s">
        <v>1427</v>
      </c>
      <c r="T69" s="2" t="s">
        <v>1745</v>
      </c>
      <c r="U69" s="3">
        <v>45786</v>
      </c>
      <c r="V69" s="3" t="s">
        <v>108</v>
      </c>
      <c r="W69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3 meses</v>
      </c>
    </row>
    <row r="70" spans="1:23">
      <c r="A70" s="2">
        <v>65</v>
      </c>
      <c r="B70" s="2" t="s">
        <v>1746</v>
      </c>
      <c r="C70" s="5" t="s">
        <v>401</v>
      </c>
      <c r="D70" s="5" t="s">
        <v>108</v>
      </c>
      <c r="E70" s="2" t="s">
        <v>51</v>
      </c>
      <c r="F70" s="5" t="s">
        <v>27</v>
      </c>
      <c r="G70" s="2" t="s">
        <v>1747</v>
      </c>
      <c r="H70" s="2" t="s">
        <v>64</v>
      </c>
      <c r="I70" s="2" t="s">
        <v>1523</v>
      </c>
      <c r="J70" s="2" t="s">
        <v>1748</v>
      </c>
      <c r="K70" s="2" t="s">
        <v>1398</v>
      </c>
      <c r="L70" s="2" t="s">
        <v>1525</v>
      </c>
      <c r="M70" s="2" t="s">
        <v>108</v>
      </c>
      <c r="N70" s="2">
        <v>8</v>
      </c>
      <c r="O70" s="2" t="s">
        <v>1379</v>
      </c>
      <c r="P70" s="2" t="s">
        <v>1415</v>
      </c>
      <c r="Q70" s="2" t="s">
        <v>1381</v>
      </c>
      <c r="R70" s="2" t="s">
        <v>1416</v>
      </c>
      <c r="S70" s="2" t="s">
        <v>1474</v>
      </c>
      <c r="T70" s="2" t="s">
        <v>1749</v>
      </c>
      <c r="U70" s="3">
        <v>45286</v>
      </c>
      <c r="V70" s="3">
        <v>45310</v>
      </c>
      <c r="W70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7 meses</v>
      </c>
    </row>
    <row r="71" spans="1:23">
      <c r="A71" s="2">
        <v>66</v>
      </c>
      <c r="B71" s="2" t="s">
        <v>1750</v>
      </c>
      <c r="C71" s="5" t="s">
        <v>152</v>
      </c>
      <c r="D71" s="5" t="s">
        <v>108</v>
      </c>
      <c r="E71" s="2" t="s">
        <v>51</v>
      </c>
      <c r="F71" s="5" t="s">
        <v>22</v>
      </c>
      <c r="G71" s="2" t="s">
        <v>1751</v>
      </c>
      <c r="H71" s="2" t="s">
        <v>64</v>
      </c>
      <c r="I71" s="2" t="s">
        <v>1447</v>
      </c>
      <c r="J71" s="2" t="s">
        <v>1752</v>
      </c>
      <c r="K71" s="2" t="s">
        <v>1424</v>
      </c>
      <c r="L71" s="2" t="s">
        <v>1442</v>
      </c>
      <c r="M71" s="2" t="s">
        <v>108</v>
      </c>
      <c r="N71" s="2">
        <v>16</v>
      </c>
      <c r="O71" s="2" t="s">
        <v>1391</v>
      </c>
      <c r="P71" s="2" t="s">
        <v>1415</v>
      </c>
      <c r="Q71" s="2" t="s">
        <v>1381</v>
      </c>
      <c r="R71" s="2" t="s">
        <v>1382</v>
      </c>
      <c r="S71" s="2" t="s">
        <v>1443</v>
      </c>
      <c r="T71" s="2" t="s">
        <v>1753</v>
      </c>
      <c r="U71" s="3">
        <v>45754</v>
      </c>
      <c r="V71" s="3">
        <v>45755</v>
      </c>
      <c r="W71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4 meses</v>
      </c>
    </row>
    <row r="72" spans="1:23">
      <c r="A72" s="2">
        <v>67</v>
      </c>
      <c r="B72" s="2" t="s">
        <v>1754</v>
      </c>
      <c r="C72" s="5" t="s">
        <v>409</v>
      </c>
      <c r="D72" s="5" t="s">
        <v>108</v>
      </c>
      <c r="E72" s="2" t="s">
        <v>51</v>
      </c>
      <c r="F72" s="5" t="s">
        <v>29</v>
      </c>
      <c r="G72" s="2" t="s">
        <v>1755</v>
      </c>
      <c r="H72" s="2" t="s">
        <v>64</v>
      </c>
      <c r="I72" s="2" t="s">
        <v>1433</v>
      </c>
      <c r="J72" s="2" t="s">
        <v>1756</v>
      </c>
      <c r="K72" s="2" t="s">
        <v>1377</v>
      </c>
      <c r="L72" s="2" t="s">
        <v>1757</v>
      </c>
      <c r="M72" s="2" t="s">
        <v>108</v>
      </c>
      <c r="N72" s="2">
        <v>16</v>
      </c>
      <c r="O72" s="2" t="s">
        <v>1391</v>
      </c>
      <c r="P72" s="2" t="s">
        <v>1380</v>
      </c>
      <c r="Q72" s="2" t="s">
        <v>1381</v>
      </c>
      <c r="R72" s="2" t="s">
        <v>1382</v>
      </c>
      <c r="S72" s="2" t="s">
        <v>1455</v>
      </c>
      <c r="T72" s="2" t="s">
        <v>1758</v>
      </c>
      <c r="U72" s="3">
        <v>44413</v>
      </c>
      <c r="V72" s="3">
        <v>45939</v>
      </c>
      <c r="W72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5 años y 0 meses</v>
      </c>
    </row>
    <row r="73" spans="1:23">
      <c r="A73" s="2">
        <v>68</v>
      </c>
      <c r="B73" s="2" t="s">
        <v>1759</v>
      </c>
      <c r="C73" s="5" t="s">
        <v>414</v>
      </c>
      <c r="D73" s="5" t="s">
        <v>108</v>
      </c>
      <c r="E73" s="2" t="s">
        <v>51</v>
      </c>
      <c r="F73" s="5" t="s">
        <v>27</v>
      </c>
      <c r="G73" s="2" t="s">
        <v>1760</v>
      </c>
      <c r="H73" s="2" t="s">
        <v>64</v>
      </c>
      <c r="I73" s="2" t="s">
        <v>1459</v>
      </c>
      <c r="J73" s="2" t="s">
        <v>1761</v>
      </c>
      <c r="K73" s="2" t="s">
        <v>1461</v>
      </c>
      <c r="L73" s="2" t="s">
        <v>1560</v>
      </c>
      <c r="M73" s="2" t="s">
        <v>108</v>
      </c>
      <c r="N73" s="2">
        <v>8</v>
      </c>
      <c r="O73" s="2" t="s">
        <v>1379</v>
      </c>
      <c r="P73" s="2" t="s">
        <v>1415</v>
      </c>
      <c r="Q73" s="2" t="s">
        <v>1381</v>
      </c>
      <c r="R73" s="2" t="s">
        <v>1416</v>
      </c>
      <c r="S73" s="2" t="s">
        <v>1455</v>
      </c>
      <c r="T73" s="2" t="s">
        <v>1762</v>
      </c>
      <c r="U73" s="3">
        <v>45016</v>
      </c>
      <c r="V73" s="3">
        <v>45593</v>
      </c>
      <c r="W73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3 años y 4 meses</v>
      </c>
    </row>
    <row r="74" spans="1:23">
      <c r="A74" s="2">
        <v>69</v>
      </c>
      <c r="B74" s="2" t="s">
        <v>1763</v>
      </c>
      <c r="C74" s="5" t="s">
        <v>418</v>
      </c>
      <c r="D74" s="5" t="s">
        <v>108</v>
      </c>
      <c r="E74" s="2" t="s">
        <v>51</v>
      </c>
      <c r="F74" s="5" t="s">
        <v>27</v>
      </c>
      <c r="G74" s="2" t="s">
        <v>1764</v>
      </c>
      <c r="H74" s="2" t="s">
        <v>64</v>
      </c>
      <c r="I74" s="2" t="s">
        <v>1447</v>
      </c>
      <c r="J74" s="2" t="s">
        <v>1765</v>
      </c>
      <c r="K74" s="2" t="s">
        <v>1599</v>
      </c>
      <c r="L74" s="2" t="s">
        <v>1731</v>
      </c>
      <c r="M74" s="2" t="s">
        <v>108</v>
      </c>
      <c r="N74" s="2">
        <v>16</v>
      </c>
      <c r="O74" s="2" t="s">
        <v>1379</v>
      </c>
      <c r="P74" s="2" t="s">
        <v>1415</v>
      </c>
      <c r="Q74" s="2" t="s">
        <v>1381</v>
      </c>
      <c r="R74" s="2" t="s">
        <v>1416</v>
      </c>
      <c r="S74" s="2" t="s">
        <v>1443</v>
      </c>
      <c r="T74" s="2" t="s">
        <v>1766</v>
      </c>
      <c r="U74" s="3">
        <v>45890</v>
      </c>
      <c r="V74" s="3">
        <v>45902</v>
      </c>
      <c r="W74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0 años y 11 meses</v>
      </c>
    </row>
    <row r="75" spans="1:23">
      <c r="A75" s="2">
        <v>70</v>
      </c>
      <c r="B75" s="2" t="s">
        <v>1767</v>
      </c>
      <c r="C75" s="5" t="s">
        <v>422</v>
      </c>
      <c r="D75" s="5" t="s">
        <v>108</v>
      </c>
      <c r="E75" s="2" t="s">
        <v>51</v>
      </c>
      <c r="F75" s="5" t="s">
        <v>27</v>
      </c>
      <c r="G75" s="2" t="s">
        <v>1768</v>
      </c>
      <c r="H75" s="2" t="s">
        <v>64</v>
      </c>
      <c r="I75" s="2" t="s">
        <v>1447</v>
      </c>
      <c r="J75" s="2" t="s">
        <v>1769</v>
      </c>
      <c r="K75" s="2" t="s">
        <v>1599</v>
      </c>
      <c r="L75" s="2" t="s">
        <v>1731</v>
      </c>
      <c r="M75" s="2" t="s">
        <v>108</v>
      </c>
      <c r="N75" s="2">
        <v>16</v>
      </c>
      <c r="O75" s="2" t="s">
        <v>1379</v>
      </c>
      <c r="P75" s="2" t="s">
        <v>1415</v>
      </c>
      <c r="Q75" s="2" t="s">
        <v>1381</v>
      </c>
      <c r="R75" s="2" t="s">
        <v>1416</v>
      </c>
      <c r="S75" s="2" t="s">
        <v>1770</v>
      </c>
      <c r="T75" s="2" t="s">
        <v>1771</v>
      </c>
      <c r="U75" s="3">
        <v>45890</v>
      </c>
      <c r="V75" s="3">
        <v>45901</v>
      </c>
      <c r="W75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0 años y 11 meses</v>
      </c>
    </row>
    <row r="76" spans="1:23">
      <c r="A76" s="12">
        <v>71</v>
      </c>
      <c r="B76" s="12" t="s">
        <v>1772</v>
      </c>
      <c r="C76" s="13" t="s">
        <v>11</v>
      </c>
      <c r="D76" s="13" t="s">
        <v>426</v>
      </c>
      <c r="E76" s="12" t="s">
        <v>51</v>
      </c>
      <c r="F76" s="13" t="s">
        <v>27</v>
      </c>
      <c r="G76" s="12" t="s">
        <v>1773</v>
      </c>
      <c r="H76" s="12" t="s">
        <v>64</v>
      </c>
      <c r="I76" s="12" t="s">
        <v>1459</v>
      </c>
      <c r="J76" s="12" t="s">
        <v>1774</v>
      </c>
      <c r="K76" s="12" t="s">
        <v>1461</v>
      </c>
      <c r="L76" s="12" t="s">
        <v>1560</v>
      </c>
      <c r="M76" s="12" t="s">
        <v>108</v>
      </c>
      <c r="N76" s="12">
        <v>8</v>
      </c>
      <c r="O76" s="12" t="s">
        <v>1379</v>
      </c>
      <c r="P76" s="12" t="s">
        <v>1415</v>
      </c>
      <c r="Q76" s="12" t="s">
        <v>1381</v>
      </c>
      <c r="R76" s="12" t="s">
        <v>1416</v>
      </c>
      <c r="S76" s="12" t="s">
        <v>1455</v>
      </c>
      <c r="T76" s="12" t="s">
        <v>1775</v>
      </c>
      <c r="U76" s="14">
        <v>45040</v>
      </c>
      <c r="V76" s="14">
        <v>45768</v>
      </c>
      <c r="W76" s="1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3 años y 3 meses</v>
      </c>
    </row>
    <row r="77" spans="1:23">
      <c r="A77" s="2">
        <v>72</v>
      </c>
      <c r="B77" s="2" t="s">
        <v>1776</v>
      </c>
      <c r="C77" s="5" t="s">
        <v>430</v>
      </c>
      <c r="D77" s="5" t="s">
        <v>108</v>
      </c>
      <c r="E77" s="2" t="s">
        <v>51</v>
      </c>
      <c r="F77" s="5" t="s">
        <v>27</v>
      </c>
      <c r="G77" s="2" t="s">
        <v>1777</v>
      </c>
      <c r="H77" s="2" t="s">
        <v>64</v>
      </c>
      <c r="I77" s="2" t="s">
        <v>1466</v>
      </c>
      <c r="J77" s="2" t="s">
        <v>1778</v>
      </c>
      <c r="K77" s="2" t="s">
        <v>1377</v>
      </c>
      <c r="L77" s="2" t="s">
        <v>1389</v>
      </c>
      <c r="M77" s="2" t="s">
        <v>108</v>
      </c>
      <c r="N77" s="2">
        <v>16</v>
      </c>
      <c r="O77" s="2" t="s">
        <v>1391</v>
      </c>
      <c r="P77" s="2" t="s">
        <v>1415</v>
      </c>
      <c r="Q77" s="2" t="s">
        <v>1381</v>
      </c>
      <c r="R77" s="2" t="s">
        <v>1382</v>
      </c>
      <c r="S77" s="2" t="s">
        <v>1544</v>
      </c>
      <c r="T77" s="2" t="s">
        <v>1779</v>
      </c>
      <c r="U77" s="3">
        <v>44679</v>
      </c>
      <c r="V77" s="3">
        <v>46045</v>
      </c>
      <c r="W77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4 años y 3 meses</v>
      </c>
    </row>
    <row r="78" spans="1:23">
      <c r="A78" s="2">
        <v>73</v>
      </c>
      <c r="B78" s="2" t="s">
        <v>1780</v>
      </c>
      <c r="C78" s="5" t="s">
        <v>434</v>
      </c>
      <c r="D78" s="5" t="s">
        <v>108</v>
      </c>
      <c r="E78" s="2" t="s">
        <v>51</v>
      </c>
      <c r="F78" s="5" t="s">
        <v>27</v>
      </c>
      <c r="G78" s="2" t="s">
        <v>1781</v>
      </c>
      <c r="H78" s="2" t="s">
        <v>1386</v>
      </c>
      <c r="I78" s="2" t="s">
        <v>1782</v>
      </c>
      <c r="J78" s="2" t="s">
        <v>1783</v>
      </c>
      <c r="K78" s="2" t="s">
        <v>1424</v>
      </c>
      <c r="L78" s="2" t="s">
        <v>1619</v>
      </c>
      <c r="M78" s="2" t="s">
        <v>108</v>
      </c>
      <c r="N78" s="2">
        <v>16</v>
      </c>
      <c r="O78" s="2" t="s">
        <v>1391</v>
      </c>
      <c r="P78" s="2" t="s">
        <v>1426</v>
      </c>
      <c r="Q78" s="2" t="s">
        <v>1381</v>
      </c>
      <c r="R78" s="2" t="s">
        <v>1382</v>
      </c>
      <c r="S78" s="2" t="s">
        <v>1572</v>
      </c>
      <c r="T78" s="2" t="s">
        <v>1784</v>
      </c>
      <c r="U78" s="3">
        <v>45915</v>
      </c>
      <c r="V78" s="3">
        <v>45916</v>
      </c>
      <c r="W78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0 años y 10 meses</v>
      </c>
    </row>
    <row r="79" spans="1:23">
      <c r="A79" s="2">
        <v>74</v>
      </c>
      <c r="B79" s="2" t="s">
        <v>1785</v>
      </c>
      <c r="C79" s="5" t="s">
        <v>440</v>
      </c>
      <c r="D79" s="5" t="s">
        <v>108</v>
      </c>
      <c r="E79" s="2" t="s">
        <v>51</v>
      </c>
      <c r="F79" s="5" t="s">
        <v>39</v>
      </c>
      <c r="G79" s="2" t="s">
        <v>1786</v>
      </c>
      <c r="H79" s="2" t="s">
        <v>1386</v>
      </c>
      <c r="I79" s="2" t="s">
        <v>1787</v>
      </c>
      <c r="J79" s="2" t="s">
        <v>1788</v>
      </c>
      <c r="K79" s="2" t="s">
        <v>1789</v>
      </c>
      <c r="L79" s="2" t="s">
        <v>1790</v>
      </c>
      <c r="M79" s="2" t="s">
        <v>108</v>
      </c>
      <c r="N79" s="2">
        <v>128</v>
      </c>
      <c r="O79" s="2" t="s">
        <v>1391</v>
      </c>
      <c r="P79" s="2" t="s">
        <v>1426</v>
      </c>
      <c r="Q79" s="2" t="s">
        <v>1381</v>
      </c>
      <c r="R79" s="2" t="s">
        <v>1382</v>
      </c>
      <c r="S79" s="2" t="s">
        <v>1791</v>
      </c>
      <c r="T79" s="2" t="s">
        <v>1792</v>
      </c>
      <c r="U79" s="3">
        <v>45454</v>
      </c>
      <c r="V79" s="3">
        <v>45492</v>
      </c>
      <c r="W79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2 meses</v>
      </c>
    </row>
    <row r="80" spans="1:23">
      <c r="A80" s="2">
        <v>75</v>
      </c>
      <c r="B80" s="2" t="s">
        <v>1793</v>
      </c>
      <c r="C80" s="5" t="s">
        <v>445</v>
      </c>
      <c r="D80" s="5" t="s">
        <v>108</v>
      </c>
      <c r="E80" s="2" t="s">
        <v>51</v>
      </c>
      <c r="F80" s="5" t="s">
        <v>27</v>
      </c>
      <c r="G80" s="2" t="s">
        <v>1794</v>
      </c>
      <c r="H80" s="2" t="s">
        <v>64</v>
      </c>
      <c r="I80" s="2" t="s">
        <v>1411</v>
      </c>
      <c r="J80" s="2" t="s">
        <v>1795</v>
      </c>
      <c r="K80" s="2" t="s">
        <v>1377</v>
      </c>
      <c r="L80" s="2" t="s">
        <v>1413</v>
      </c>
      <c r="M80" s="2" t="s">
        <v>108</v>
      </c>
      <c r="N80" s="2">
        <v>16</v>
      </c>
      <c r="O80" s="2" t="s">
        <v>1379</v>
      </c>
      <c r="P80" s="2" t="s">
        <v>1415</v>
      </c>
      <c r="Q80" s="2" t="s">
        <v>1381</v>
      </c>
      <c r="R80" s="2" t="s">
        <v>1416</v>
      </c>
      <c r="S80" s="2" t="s">
        <v>1417</v>
      </c>
      <c r="T80" s="2" t="s">
        <v>1796</v>
      </c>
      <c r="U80" s="3">
        <v>45559</v>
      </c>
      <c r="V80" s="3">
        <v>45569</v>
      </c>
      <c r="W80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10 meses</v>
      </c>
    </row>
    <row r="81" spans="1:23">
      <c r="A81" s="2">
        <v>76</v>
      </c>
      <c r="B81" s="2" t="s">
        <v>1797</v>
      </c>
      <c r="C81" s="5" t="s">
        <v>449</v>
      </c>
      <c r="D81" s="5" t="s">
        <v>108</v>
      </c>
      <c r="E81" s="2" t="s">
        <v>51</v>
      </c>
      <c r="F81" s="5" t="s">
        <v>25</v>
      </c>
      <c r="G81" s="2" t="s">
        <v>1798</v>
      </c>
      <c r="H81" s="2" t="s">
        <v>64</v>
      </c>
      <c r="I81" s="2" t="s">
        <v>1440</v>
      </c>
      <c r="J81" s="2" t="s">
        <v>1799</v>
      </c>
      <c r="K81" s="2" t="s">
        <v>1424</v>
      </c>
      <c r="L81" s="2" t="s">
        <v>1442</v>
      </c>
      <c r="M81" s="2" t="s">
        <v>108</v>
      </c>
      <c r="N81" s="2">
        <v>16</v>
      </c>
      <c r="O81" s="2" t="s">
        <v>1391</v>
      </c>
      <c r="P81" s="2" t="s">
        <v>1426</v>
      </c>
      <c r="Q81" s="2" t="s">
        <v>1381</v>
      </c>
      <c r="R81" s="2" t="s">
        <v>1382</v>
      </c>
      <c r="S81" s="2" t="s">
        <v>1443</v>
      </c>
      <c r="T81" s="2" t="s">
        <v>1800</v>
      </c>
      <c r="U81" s="3">
        <v>45748</v>
      </c>
      <c r="V81" s="3">
        <v>46009</v>
      </c>
      <c r="W81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4 meses</v>
      </c>
    </row>
    <row r="82" spans="1:23">
      <c r="A82" s="2">
        <v>78</v>
      </c>
      <c r="B82" s="2" t="s">
        <v>1801</v>
      </c>
      <c r="C82" s="5" t="s">
        <v>454</v>
      </c>
      <c r="D82" s="5" t="s">
        <v>108</v>
      </c>
      <c r="E82" s="2" t="s">
        <v>51</v>
      </c>
      <c r="F82" s="5" t="s">
        <v>27</v>
      </c>
      <c r="G82" s="2" t="s">
        <v>1802</v>
      </c>
      <c r="H82" s="2" t="s">
        <v>64</v>
      </c>
      <c r="I82" s="2" t="s">
        <v>1452</v>
      </c>
      <c r="J82" s="2" t="s">
        <v>1803</v>
      </c>
      <c r="K82" s="2" t="s">
        <v>1398</v>
      </c>
      <c r="L82" s="2" t="s">
        <v>1454</v>
      </c>
      <c r="M82" s="2" t="s">
        <v>108</v>
      </c>
      <c r="N82" s="2">
        <v>16</v>
      </c>
      <c r="O82" s="2" t="s">
        <v>1379</v>
      </c>
      <c r="P82" s="2" t="s">
        <v>1415</v>
      </c>
      <c r="Q82" s="2" t="s">
        <v>1381</v>
      </c>
      <c r="R82" s="2" t="s">
        <v>1416</v>
      </c>
      <c r="S82" s="2" t="s">
        <v>1555</v>
      </c>
      <c r="T82" s="2" t="s">
        <v>1804</v>
      </c>
      <c r="U82" s="3">
        <v>45659</v>
      </c>
      <c r="V82" s="3">
        <v>45692</v>
      </c>
      <c r="W82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7 meses</v>
      </c>
    </row>
    <row r="83" spans="1:23">
      <c r="A83" s="2">
        <v>79</v>
      </c>
      <c r="B83" s="2" t="s">
        <v>1805</v>
      </c>
      <c r="C83" s="5" t="s">
        <v>458</v>
      </c>
      <c r="D83" s="5" t="s">
        <v>108</v>
      </c>
      <c r="E83" s="2" t="s">
        <v>51</v>
      </c>
      <c r="F83" s="5" t="s">
        <v>27</v>
      </c>
      <c r="G83" s="2" t="s">
        <v>1806</v>
      </c>
      <c r="H83" s="2" t="s">
        <v>64</v>
      </c>
      <c r="I83" s="2" t="s">
        <v>1523</v>
      </c>
      <c r="J83" s="2" t="s">
        <v>1807</v>
      </c>
      <c r="K83" s="2" t="s">
        <v>1398</v>
      </c>
      <c r="L83" s="2" t="s">
        <v>1525</v>
      </c>
      <c r="M83" s="2" t="s">
        <v>108</v>
      </c>
      <c r="N83" s="2">
        <v>8</v>
      </c>
      <c r="O83" s="2" t="s">
        <v>1379</v>
      </c>
      <c r="P83" s="2" t="s">
        <v>1415</v>
      </c>
      <c r="Q83" s="2" t="s">
        <v>1381</v>
      </c>
      <c r="R83" s="2" t="s">
        <v>1416</v>
      </c>
      <c r="S83" s="2" t="s">
        <v>1544</v>
      </c>
      <c r="T83" s="2" t="s">
        <v>1808</v>
      </c>
      <c r="U83" s="3">
        <v>45286</v>
      </c>
      <c r="V83" s="3">
        <v>45971</v>
      </c>
      <c r="W83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7 meses</v>
      </c>
    </row>
    <row r="84" spans="1:23">
      <c r="A84" s="2">
        <v>80</v>
      </c>
      <c r="B84" s="2" t="s">
        <v>1809</v>
      </c>
      <c r="C84" s="5" t="s">
        <v>462</v>
      </c>
      <c r="D84" s="5" t="s">
        <v>108</v>
      </c>
      <c r="E84" s="2" t="s">
        <v>51</v>
      </c>
      <c r="F84" s="5" t="s">
        <v>27</v>
      </c>
      <c r="G84" s="2" t="s">
        <v>1810</v>
      </c>
      <c r="H84" s="2" t="s">
        <v>64</v>
      </c>
      <c r="I84" s="2" t="s">
        <v>1459</v>
      </c>
      <c r="J84" s="2" t="s">
        <v>1811</v>
      </c>
      <c r="K84" s="2" t="s">
        <v>1461</v>
      </c>
      <c r="L84" s="2" t="s">
        <v>1560</v>
      </c>
      <c r="M84" s="2" t="s">
        <v>108</v>
      </c>
      <c r="N84" s="2">
        <v>8</v>
      </c>
      <c r="O84" s="2" t="s">
        <v>1492</v>
      </c>
      <c r="P84" s="2" t="s">
        <v>1415</v>
      </c>
      <c r="Q84" s="2" t="s">
        <v>1381</v>
      </c>
      <c r="R84" s="2" t="s">
        <v>1416</v>
      </c>
      <c r="S84" s="2" t="s">
        <v>1455</v>
      </c>
      <c r="T84" s="2" t="s">
        <v>1812</v>
      </c>
      <c r="U84" s="3">
        <v>45040</v>
      </c>
      <c r="V84" s="3">
        <v>45629</v>
      </c>
      <c r="W84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3 años y 3 meses</v>
      </c>
    </row>
    <row r="85" spans="1:23">
      <c r="A85" s="2">
        <v>81</v>
      </c>
      <c r="B85" s="2" t="s">
        <v>1813</v>
      </c>
      <c r="C85" s="5" t="s">
        <v>466</v>
      </c>
      <c r="D85" s="5" t="s">
        <v>108</v>
      </c>
      <c r="E85" s="2" t="s">
        <v>51</v>
      </c>
      <c r="F85" s="5" t="s">
        <v>30</v>
      </c>
      <c r="G85" s="2" t="s">
        <v>1814</v>
      </c>
      <c r="H85" s="2" t="s">
        <v>1386</v>
      </c>
      <c r="I85" s="2" t="s">
        <v>1396</v>
      </c>
      <c r="J85" s="2" t="s">
        <v>1815</v>
      </c>
      <c r="K85" s="2" t="s">
        <v>1377</v>
      </c>
      <c r="L85" s="2" t="s">
        <v>1389</v>
      </c>
      <c r="M85" s="2" t="s">
        <v>108</v>
      </c>
      <c r="N85" s="2">
        <v>32</v>
      </c>
      <c r="O85" s="2" t="s">
        <v>1391</v>
      </c>
      <c r="P85" s="2" t="s">
        <v>1380</v>
      </c>
      <c r="Q85" s="2" t="s">
        <v>1381</v>
      </c>
      <c r="R85" s="2" t="s">
        <v>1382</v>
      </c>
      <c r="S85" s="2" t="s">
        <v>1816</v>
      </c>
      <c r="T85" s="2" t="s">
        <v>1817</v>
      </c>
      <c r="U85" s="3">
        <v>44718</v>
      </c>
      <c r="V85" s="3">
        <v>45937</v>
      </c>
      <c r="W85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4 años y 2 meses</v>
      </c>
    </row>
    <row r="86" spans="1:23">
      <c r="A86" s="2">
        <v>82</v>
      </c>
      <c r="B86" s="2" t="s">
        <v>1818</v>
      </c>
      <c r="C86" s="5" t="s">
        <v>476</v>
      </c>
      <c r="D86" s="5" t="s">
        <v>108</v>
      </c>
      <c r="E86" s="2" t="s">
        <v>51</v>
      </c>
      <c r="F86" s="5" t="s">
        <v>27</v>
      </c>
      <c r="G86" s="2" t="s">
        <v>1819</v>
      </c>
      <c r="H86" s="2" t="s">
        <v>64</v>
      </c>
      <c r="I86" s="2" t="s">
        <v>1523</v>
      </c>
      <c r="J86" s="2" t="s">
        <v>1820</v>
      </c>
      <c r="K86" s="2" t="s">
        <v>1398</v>
      </c>
      <c r="L86" s="2" t="s">
        <v>1525</v>
      </c>
      <c r="M86" s="2" t="s">
        <v>108</v>
      </c>
      <c r="N86" s="2">
        <v>8</v>
      </c>
      <c r="O86" s="2" t="s">
        <v>1379</v>
      </c>
      <c r="P86" s="2" t="s">
        <v>1415</v>
      </c>
      <c r="Q86" s="2" t="s">
        <v>1381</v>
      </c>
      <c r="R86" s="2" t="s">
        <v>1416</v>
      </c>
      <c r="S86" s="2" t="s">
        <v>1682</v>
      </c>
      <c r="T86" s="2" t="s">
        <v>1821</v>
      </c>
      <c r="U86" s="3">
        <v>45286</v>
      </c>
      <c r="V86" s="3">
        <v>45330</v>
      </c>
      <c r="W86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7 meses</v>
      </c>
    </row>
    <row r="87" spans="1:23">
      <c r="A87" s="2">
        <v>83</v>
      </c>
      <c r="B87" s="2" t="s">
        <v>1822</v>
      </c>
      <c r="C87" s="5" t="s">
        <v>480</v>
      </c>
      <c r="D87" s="5" t="s">
        <v>108</v>
      </c>
      <c r="E87" s="2" t="s">
        <v>51</v>
      </c>
      <c r="F87" s="5" t="s">
        <v>27</v>
      </c>
      <c r="G87" s="2" t="s">
        <v>1823</v>
      </c>
      <c r="H87" s="2" t="s">
        <v>64</v>
      </c>
      <c r="I87" s="2" t="s">
        <v>1523</v>
      </c>
      <c r="J87" s="2" t="s">
        <v>1824</v>
      </c>
      <c r="K87" s="2" t="s">
        <v>1398</v>
      </c>
      <c r="L87" s="2" t="s">
        <v>1537</v>
      </c>
      <c r="M87" s="2" t="s">
        <v>108</v>
      </c>
      <c r="N87" s="2">
        <v>16</v>
      </c>
      <c r="O87" s="2" t="s">
        <v>1379</v>
      </c>
      <c r="P87" s="2" t="s">
        <v>1415</v>
      </c>
      <c r="Q87" s="2" t="s">
        <v>1381</v>
      </c>
      <c r="R87" s="2" t="s">
        <v>1416</v>
      </c>
      <c r="S87" s="2" t="s">
        <v>1555</v>
      </c>
      <c r="T87" s="2" t="s">
        <v>1825</v>
      </c>
      <c r="U87" s="3">
        <v>45261</v>
      </c>
      <c r="V87" s="3">
        <v>45882</v>
      </c>
      <c r="W87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8 meses</v>
      </c>
    </row>
    <row r="88" spans="1:23">
      <c r="A88" s="2">
        <v>84</v>
      </c>
      <c r="B88" s="2" t="s">
        <v>1826</v>
      </c>
      <c r="C88" s="5" t="s">
        <v>485</v>
      </c>
      <c r="D88" s="5" t="s">
        <v>108</v>
      </c>
      <c r="E88" s="2" t="s">
        <v>51</v>
      </c>
      <c r="F88" s="5" t="s">
        <v>27</v>
      </c>
      <c r="G88" s="2" t="s">
        <v>1827</v>
      </c>
      <c r="H88" s="2" t="s">
        <v>64</v>
      </c>
      <c r="I88" s="2" t="s">
        <v>1411</v>
      </c>
      <c r="J88" s="2" t="s">
        <v>1828</v>
      </c>
      <c r="K88" s="2" t="s">
        <v>1377</v>
      </c>
      <c r="L88" s="2" t="s">
        <v>1413</v>
      </c>
      <c r="M88" s="2" t="s">
        <v>108</v>
      </c>
      <c r="N88" s="2">
        <v>16</v>
      </c>
      <c r="O88" s="2" t="s">
        <v>1379</v>
      </c>
      <c r="P88" s="2" t="s">
        <v>1415</v>
      </c>
      <c r="Q88" s="2" t="s">
        <v>1381</v>
      </c>
      <c r="R88" s="2" t="s">
        <v>1416</v>
      </c>
      <c r="S88" s="2" t="s">
        <v>1417</v>
      </c>
      <c r="T88" s="2" t="s">
        <v>1829</v>
      </c>
      <c r="U88" s="3">
        <v>45559</v>
      </c>
      <c r="V88" s="3">
        <v>45994</v>
      </c>
      <c r="W88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10 meses</v>
      </c>
    </row>
    <row r="89" spans="1:23">
      <c r="A89" s="2">
        <v>85</v>
      </c>
      <c r="B89" s="2" t="s">
        <v>1830</v>
      </c>
      <c r="C89" s="5" t="s">
        <v>489</v>
      </c>
      <c r="D89" s="5" t="s">
        <v>108</v>
      </c>
      <c r="E89" s="2" t="s">
        <v>51</v>
      </c>
      <c r="F89" s="5" t="s">
        <v>27</v>
      </c>
      <c r="G89" s="2" t="s">
        <v>1831</v>
      </c>
      <c r="H89" s="2" t="s">
        <v>64</v>
      </c>
      <c r="I89" s="2" t="s">
        <v>1452</v>
      </c>
      <c r="J89" s="2" t="s">
        <v>1832</v>
      </c>
      <c r="K89" s="2" t="s">
        <v>1398</v>
      </c>
      <c r="L89" s="2" t="s">
        <v>1454</v>
      </c>
      <c r="M89" s="2" t="s">
        <v>108</v>
      </c>
      <c r="N89" s="2">
        <v>16</v>
      </c>
      <c r="O89" s="2" t="s">
        <v>1379</v>
      </c>
      <c r="P89" s="2" t="s">
        <v>1415</v>
      </c>
      <c r="Q89" s="2" t="s">
        <v>1381</v>
      </c>
      <c r="R89" s="2" t="s">
        <v>1416</v>
      </c>
      <c r="S89" s="2" t="s">
        <v>1555</v>
      </c>
      <c r="T89" s="2" t="s">
        <v>1833</v>
      </c>
      <c r="U89" s="3">
        <v>45659</v>
      </c>
      <c r="V89" s="3">
        <v>46056</v>
      </c>
      <c r="W89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7 meses</v>
      </c>
    </row>
    <row r="90" spans="1:23">
      <c r="A90" s="2">
        <v>87</v>
      </c>
      <c r="B90" s="2" t="s">
        <v>1834</v>
      </c>
      <c r="C90" s="5" t="s">
        <v>498</v>
      </c>
      <c r="D90" s="5" t="s">
        <v>108</v>
      </c>
      <c r="E90" s="2" t="s">
        <v>51</v>
      </c>
      <c r="F90" s="5" t="s">
        <v>27</v>
      </c>
      <c r="G90" s="2" t="s">
        <v>1835</v>
      </c>
      <c r="H90" s="2" t="s">
        <v>64</v>
      </c>
      <c r="I90" s="2" t="s">
        <v>1541</v>
      </c>
      <c r="J90" s="2" t="s">
        <v>1836</v>
      </c>
      <c r="K90" s="2" t="s">
        <v>1461</v>
      </c>
      <c r="L90" s="2" t="s">
        <v>1543</v>
      </c>
      <c r="M90" s="2" t="s">
        <v>108</v>
      </c>
      <c r="N90" s="2">
        <v>8</v>
      </c>
      <c r="O90" s="2" t="s">
        <v>1379</v>
      </c>
      <c r="P90" s="2" t="s">
        <v>1415</v>
      </c>
      <c r="Q90" s="2" t="s">
        <v>1381</v>
      </c>
      <c r="R90" s="2" t="s">
        <v>1416</v>
      </c>
      <c r="S90" s="2" t="s">
        <v>1544</v>
      </c>
      <c r="T90" s="2" t="s">
        <v>1837</v>
      </c>
      <c r="U90" s="3">
        <v>44590</v>
      </c>
      <c r="V90" s="3">
        <v>45852</v>
      </c>
      <c r="W90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4 años y 6 meses</v>
      </c>
    </row>
    <row r="91" spans="1:23">
      <c r="A91" s="2">
        <v>88</v>
      </c>
      <c r="B91" s="2" t="s">
        <v>108</v>
      </c>
      <c r="C91" s="5" t="s">
        <v>506</v>
      </c>
      <c r="D91" s="5" t="s">
        <v>108</v>
      </c>
      <c r="E91" s="2" t="s">
        <v>50</v>
      </c>
      <c r="F91" s="5" t="s">
        <v>25</v>
      </c>
      <c r="G91" s="2" t="s">
        <v>1838</v>
      </c>
      <c r="H91" s="2" t="s">
        <v>64</v>
      </c>
      <c r="I91" s="2" t="s">
        <v>1839</v>
      </c>
      <c r="J91" s="2" t="s">
        <v>1840</v>
      </c>
      <c r="K91" s="2" t="s">
        <v>1377</v>
      </c>
      <c r="L91" s="2">
        <v>6700</v>
      </c>
      <c r="M91" s="2" t="s">
        <v>108</v>
      </c>
      <c r="N91" s="2">
        <v>16</v>
      </c>
      <c r="O91" s="2" t="s">
        <v>1379</v>
      </c>
      <c r="P91" s="2" t="s">
        <v>108</v>
      </c>
      <c r="Q91" s="2" t="s">
        <v>1381</v>
      </c>
      <c r="R91" s="2" t="s">
        <v>1382</v>
      </c>
      <c r="S91" s="2" t="s">
        <v>108</v>
      </c>
      <c r="T91" s="2" t="s">
        <v>108</v>
      </c>
      <c r="U91" s="3" t="s">
        <v>108</v>
      </c>
      <c r="V91" s="2" t="s">
        <v>108</v>
      </c>
      <c r="W91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-</v>
      </c>
    </row>
    <row r="92" spans="1:23">
      <c r="A92" s="2">
        <v>89</v>
      </c>
      <c r="B92" s="2" t="s">
        <v>1431</v>
      </c>
      <c r="C92" s="5" t="s">
        <v>506</v>
      </c>
      <c r="D92" s="5" t="s">
        <v>108</v>
      </c>
      <c r="E92" s="2" t="s">
        <v>51</v>
      </c>
      <c r="F92" s="5" t="s">
        <v>25</v>
      </c>
      <c r="G92" s="2" t="s">
        <v>1841</v>
      </c>
      <c r="H92" s="2" t="s">
        <v>64</v>
      </c>
      <c r="I92" s="2" t="s">
        <v>1433</v>
      </c>
      <c r="J92" s="2" t="s">
        <v>1842</v>
      </c>
      <c r="K92" s="2" t="s">
        <v>1398</v>
      </c>
      <c r="L92" s="2" t="s">
        <v>1843</v>
      </c>
      <c r="M92" s="2" t="s">
        <v>108</v>
      </c>
      <c r="N92" s="2">
        <v>8</v>
      </c>
      <c r="O92" s="2" t="s">
        <v>1379</v>
      </c>
      <c r="P92" s="2" t="s">
        <v>1380</v>
      </c>
      <c r="Q92" s="2" t="s">
        <v>1381</v>
      </c>
      <c r="R92" s="2" t="s">
        <v>1382</v>
      </c>
      <c r="S92" s="2" t="s">
        <v>1555</v>
      </c>
      <c r="T92" s="2" t="s">
        <v>1844</v>
      </c>
      <c r="U92" s="3">
        <v>44484</v>
      </c>
      <c r="V92" s="3">
        <v>46079</v>
      </c>
      <c r="W92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4 años y 9 meses</v>
      </c>
    </row>
    <row r="93" spans="1:23">
      <c r="A93" s="2">
        <v>90</v>
      </c>
      <c r="B93" s="2" t="s">
        <v>1845</v>
      </c>
      <c r="C93" s="5" t="s">
        <v>510</v>
      </c>
      <c r="D93" s="5" t="s">
        <v>1846</v>
      </c>
      <c r="E93" s="2" t="s">
        <v>51</v>
      </c>
      <c r="F93" s="5" t="s">
        <v>27</v>
      </c>
      <c r="G93" s="2" t="s">
        <v>1847</v>
      </c>
      <c r="H93" s="2" t="s">
        <v>1386</v>
      </c>
      <c r="I93" s="2" t="s">
        <v>1848</v>
      </c>
      <c r="J93" s="2" t="s">
        <v>1849</v>
      </c>
      <c r="K93" s="2" t="s">
        <v>1377</v>
      </c>
      <c r="L93" s="2" t="s">
        <v>1850</v>
      </c>
      <c r="M93" s="2" t="s">
        <v>108</v>
      </c>
      <c r="N93" s="2">
        <v>16</v>
      </c>
      <c r="O93" s="2" t="s">
        <v>1391</v>
      </c>
      <c r="P93" s="2" t="s">
        <v>1415</v>
      </c>
      <c r="Q93" s="2" t="s">
        <v>1381</v>
      </c>
      <c r="R93" s="2" t="s">
        <v>1382</v>
      </c>
      <c r="S93" s="2" t="s">
        <v>1851</v>
      </c>
      <c r="T93" s="2" t="s">
        <v>1852</v>
      </c>
      <c r="U93" s="3">
        <v>44487</v>
      </c>
      <c r="V93" s="3">
        <v>46048</v>
      </c>
      <c r="W93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4 años y 9 meses</v>
      </c>
    </row>
    <row r="94" spans="1:23">
      <c r="A94" s="2">
        <v>91</v>
      </c>
      <c r="B94" s="2" t="s">
        <v>1853</v>
      </c>
      <c r="C94" s="5" t="s">
        <v>515</v>
      </c>
      <c r="D94" s="5" t="s">
        <v>108</v>
      </c>
      <c r="E94" s="2" t="s">
        <v>51</v>
      </c>
      <c r="F94" s="5" t="s">
        <v>27</v>
      </c>
      <c r="G94" s="2" t="s">
        <v>1854</v>
      </c>
      <c r="H94" s="2" t="s">
        <v>64</v>
      </c>
      <c r="I94" s="2" t="s">
        <v>1411</v>
      </c>
      <c r="J94" s="2" t="s">
        <v>1855</v>
      </c>
      <c r="K94" s="2" t="s">
        <v>1377</v>
      </c>
      <c r="L94" s="2" t="s">
        <v>1413</v>
      </c>
      <c r="M94" s="2" t="s">
        <v>108</v>
      </c>
      <c r="N94" s="2">
        <v>16</v>
      </c>
      <c r="O94" s="2" t="s">
        <v>1379</v>
      </c>
      <c r="P94" s="2" t="s">
        <v>1415</v>
      </c>
      <c r="Q94" s="2" t="s">
        <v>1381</v>
      </c>
      <c r="R94" s="2" t="s">
        <v>1416</v>
      </c>
      <c r="S94" s="2" t="s">
        <v>1417</v>
      </c>
      <c r="T94" s="2" t="s">
        <v>1856</v>
      </c>
      <c r="U94" s="3">
        <v>45574</v>
      </c>
      <c r="V94" s="3">
        <v>45586</v>
      </c>
      <c r="W94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10 meses</v>
      </c>
    </row>
    <row r="95" spans="1:23">
      <c r="A95" s="2">
        <v>92</v>
      </c>
      <c r="B95" s="2" t="s">
        <v>1857</v>
      </c>
      <c r="C95" s="5" t="s">
        <v>519</v>
      </c>
      <c r="D95" s="5" t="s">
        <v>108</v>
      </c>
      <c r="E95" s="2" t="s">
        <v>51</v>
      </c>
      <c r="F95" s="5" t="s">
        <v>22</v>
      </c>
      <c r="G95" s="2" t="s">
        <v>1858</v>
      </c>
      <c r="H95" s="2" t="s">
        <v>64</v>
      </c>
      <c r="I95" s="2" t="s">
        <v>1452</v>
      </c>
      <c r="J95" s="2" t="s">
        <v>1859</v>
      </c>
      <c r="K95" s="2" t="s">
        <v>1398</v>
      </c>
      <c r="L95" s="2" t="s">
        <v>1454</v>
      </c>
      <c r="M95" s="2" t="s">
        <v>108</v>
      </c>
      <c r="N95" s="2">
        <v>16</v>
      </c>
      <c r="O95" s="2" t="s">
        <v>1379</v>
      </c>
      <c r="P95" s="2" t="s">
        <v>1415</v>
      </c>
      <c r="Q95" s="2" t="s">
        <v>1381</v>
      </c>
      <c r="R95" s="2" t="s">
        <v>1382</v>
      </c>
      <c r="S95" s="2" t="s">
        <v>1555</v>
      </c>
      <c r="T95" s="2" t="s">
        <v>1860</v>
      </c>
      <c r="U95" s="3">
        <v>45659</v>
      </c>
      <c r="V95" s="3">
        <v>45684</v>
      </c>
      <c r="W95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7 meses</v>
      </c>
    </row>
    <row r="96" spans="1:23">
      <c r="A96" s="2">
        <v>93</v>
      </c>
      <c r="B96" s="2" t="s">
        <v>1861</v>
      </c>
      <c r="C96" s="5" t="s">
        <v>524</v>
      </c>
      <c r="D96" s="5" t="s">
        <v>108</v>
      </c>
      <c r="E96" s="2" t="s">
        <v>51</v>
      </c>
      <c r="F96" s="5" t="s">
        <v>28</v>
      </c>
      <c r="G96" s="2" t="s">
        <v>1862</v>
      </c>
      <c r="H96" s="2" t="s">
        <v>1386</v>
      </c>
      <c r="I96" s="2" t="s">
        <v>1863</v>
      </c>
      <c r="J96" s="2" t="s">
        <v>1864</v>
      </c>
      <c r="K96" s="2" t="s">
        <v>1398</v>
      </c>
      <c r="L96" s="2" t="s">
        <v>1865</v>
      </c>
      <c r="M96" s="2" t="s">
        <v>108</v>
      </c>
      <c r="N96" s="2">
        <v>32</v>
      </c>
      <c r="O96" s="2" t="s">
        <v>1379</v>
      </c>
      <c r="P96" s="2" t="s">
        <v>1380</v>
      </c>
      <c r="Q96" s="2" t="s">
        <v>1381</v>
      </c>
      <c r="R96" s="2" t="s">
        <v>1382</v>
      </c>
      <c r="S96" s="2" t="s">
        <v>1401</v>
      </c>
      <c r="T96" s="2" t="s">
        <v>1866</v>
      </c>
      <c r="U96" s="3">
        <v>44851</v>
      </c>
      <c r="V96" s="3">
        <v>45341</v>
      </c>
      <c r="W96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3 años y 9 meses</v>
      </c>
    </row>
    <row r="97" spans="1:23">
      <c r="A97" s="2">
        <v>94</v>
      </c>
      <c r="B97" s="2" t="s">
        <v>1867</v>
      </c>
      <c r="C97" s="5" t="s">
        <v>528</v>
      </c>
      <c r="D97" s="5" t="s">
        <v>108</v>
      </c>
      <c r="E97" s="2" t="s">
        <v>51</v>
      </c>
      <c r="F97" s="5" t="s">
        <v>24</v>
      </c>
      <c r="G97" s="2" t="s">
        <v>1868</v>
      </c>
      <c r="H97" s="2" t="s">
        <v>64</v>
      </c>
      <c r="I97" s="2" t="s">
        <v>1869</v>
      </c>
      <c r="J97" s="2" t="s">
        <v>1870</v>
      </c>
      <c r="K97" s="2" t="s">
        <v>1461</v>
      </c>
      <c r="L97" s="2" t="s">
        <v>1871</v>
      </c>
      <c r="M97" s="2" t="s">
        <v>108</v>
      </c>
      <c r="N97" s="2">
        <v>8</v>
      </c>
      <c r="O97" s="2" t="s">
        <v>1379</v>
      </c>
      <c r="P97" s="2" t="s">
        <v>1415</v>
      </c>
      <c r="Q97" s="2" t="s">
        <v>1381</v>
      </c>
      <c r="R97" s="2" t="s">
        <v>1382</v>
      </c>
      <c r="S97" s="2" t="s">
        <v>1407</v>
      </c>
      <c r="T97" s="2" t="s">
        <v>1872</v>
      </c>
      <c r="U97" s="3">
        <v>43613</v>
      </c>
      <c r="V97" s="3">
        <v>45141</v>
      </c>
      <c r="W97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7 años y 2 meses</v>
      </c>
    </row>
    <row r="98" spans="1:23">
      <c r="A98" s="2">
        <v>95</v>
      </c>
      <c r="B98" s="2" t="s">
        <v>108</v>
      </c>
      <c r="C98" s="5" t="s">
        <v>528</v>
      </c>
      <c r="D98" s="5" t="s">
        <v>108</v>
      </c>
      <c r="E98" s="2" t="s">
        <v>50</v>
      </c>
      <c r="F98" s="5" t="s">
        <v>24</v>
      </c>
      <c r="G98" s="2" t="s">
        <v>1873</v>
      </c>
      <c r="H98" s="2" t="s">
        <v>64</v>
      </c>
      <c r="I98" s="2" t="s">
        <v>1874</v>
      </c>
      <c r="J98" s="2" t="s">
        <v>1875</v>
      </c>
      <c r="K98" s="2" t="s">
        <v>1398</v>
      </c>
      <c r="L98" s="2">
        <v>12500</v>
      </c>
      <c r="M98" s="2" t="s">
        <v>108</v>
      </c>
      <c r="N98" s="2">
        <v>16</v>
      </c>
      <c r="O98" s="2" t="s">
        <v>1379</v>
      </c>
      <c r="P98" s="2" t="s">
        <v>108</v>
      </c>
      <c r="Q98" s="2" t="s">
        <v>1381</v>
      </c>
      <c r="R98" s="2" t="s">
        <v>1382</v>
      </c>
      <c r="S98" s="2" t="s">
        <v>108</v>
      </c>
      <c r="T98" s="2" t="s">
        <v>108</v>
      </c>
      <c r="U98" s="3" t="s">
        <v>108</v>
      </c>
      <c r="V98" s="2" t="s">
        <v>108</v>
      </c>
      <c r="W98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-</v>
      </c>
    </row>
    <row r="99" spans="1:23">
      <c r="A99" s="2">
        <v>96</v>
      </c>
      <c r="B99" s="2" t="s">
        <v>1876</v>
      </c>
      <c r="C99" s="5" t="s">
        <v>532</v>
      </c>
      <c r="D99" s="5" t="s">
        <v>108</v>
      </c>
      <c r="E99" s="2" t="s">
        <v>51</v>
      </c>
      <c r="F99" s="5" t="s">
        <v>37</v>
      </c>
      <c r="G99" s="2" t="s">
        <v>1877</v>
      </c>
      <c r="H99" s="2" t="s">
        <v>1386</v>
      </c>
      <c r="I99" s="2" t="s">
        <v>1878</v>
      </c>
      <c r="J99" s="2" t="s">
        <v>1879</v>
      </c>
      <c r="K99" s="2" t="s">
        <v>1377</v>
      </c>
      <c r="L99" s="2" t="s">
        <v>1880</v>
      </c>
      <c r="M99" s="2" t="s">
        <v>108</v>
      </c>
      <c r="N99" s="2">
        <v>16</v>
      </c>
      <c r="O99" s="2" t="s">
        <v>1379</v>
      </c>
      <c r="P99" s="2" t="s">
        <v>1415</v>
      </c>
      <c r="Q99" s="2" t="s">
        <v>1381</v>
      </c>
      <c r="R99" s="2" t="s">
        <v>1382</v>
      </c>
      <c r="S99" s="2" t="s">
        <v>1401</v>
      </c>
      <c r="T99" s="2" t="s">
        <v>1881</v>
      </c>
      <c r="U99" s="3">
        <v>45057</v>
      </c>
      <c r="V99" s="3">
        <v>45058</v>
      </c>
      <c r="W99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3 años y 3 meses</v>
      </c>
    </row>
    <row r="100" spans="1:23">
      <c r="A100" s="2">
        <v>98</v>
      </c>
      <c r="B100" s="2" t="s">
        <v>1882</v>
      </c>
      <c r="C100" s="5" t="s">
        <v>182</v>
      </c>
      <c r="D100" s="5" t="s">
        <v>108</v>
      </c>
      <c r="E100" s="2" t="s">
        <v>51</v>
      </c>
      <c r="F100" s="5" t="s">
        <v>27</v>
      </c>
      <c r="G100" s="2" t="s">
        <v>1883</v>
      </c>
      <c r="H100" s="2" t="s">
        <v>1386</v>
      </c>
      <c r="I100" s="2" t="s">
        <v>1548</v>
      </c>
      <c r="J100" s="2" t="s">
        <v>1884</v>
      </c>
      <c r="K100" s="2" t="s">
        <v>1885</v>
      </c>
      <c r="L100" s="2" t="s">
        <v>1413</v>
      </c>
      <c r="M100" s="2" t="s">
        <v>108</v>
      </c>
      <c r="N100" s="2">
        <v>16</v>
      </c>
      <c r="O100" s="2" t="s">
        <v>1391</v>
      </c>
      <c r="P100" s="2" t="s">
        <v>1426</v>
      </c>
      <c r="Q100" s="2" t="s">
        <v>1381</v>
      </c>
      <c r="R100" s="2" t="s">
        <v>1382</v>
      </c>
      <c r="S100" s="2" t="s">
        <v>1886</v>
      </c>
      <c r="T100" s="2" t="s">
        <v>1887</v>
      </c>
      <c r="U100" s="3">
        <v>45517</v>
      </c>
      <c r="V100" s="3">
        <v>45519</v>
      </c>
      <c r="W100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11 meses</v>
      </c>
    </row>
    <row r="101" spans="1:23">
      <c r="A101" s="2">
        <v>167</v>
      </c>
      <c r="B101" s="2" t="s">
        <v>1888</v>
      </c>
      <c r="C101" s="5" t="s">
        <v>553</v>
      </c>
      <c r="D101" s="5" t="s">
        <v>108</v>
      </c>
      <c r="E101" s="2" t="s">
        <v>51</v>
      </c>
      <c r="F101" s="5" t="s">
        <v>27</v>
      </c>
      <c r="G101" s="2" t="s">
        <v>1889</v>
      </c>
      <c r="H101" s="2" t="s">
        <v>64</v>
      </c>
      <c r="I101" s="2" t="s">
        <v>1411</v>
      </c>
      <c r="J101" s="2" t="s">
        <v>1890</v>
      </c>
      <c r="K101" s="2" t="s">
        <v>1377</v>
      </c>
      <c r="L101" s="2" t="s">
        <v>1413</v>
      </c>
      <c r="M101" s="2" t="s">
        <v>108</v>
      </c>
      <c r="N101" s="2">
        <v>16</v>
      </c>
      <c r="O101" s="2" t="s">
        <v>1379</v>
      </c>
      <c r="P101" s="2" t="s">
        <v>1415</v>
      </c>
      <c r="Q101" s="2" t="s">
        <v>1381</v>
      </c>
      <c r="R101" s="2" t="s">
        <v>1416</v>
      </c>
      <c r="S101" s="2" t="s">
        <v>1417</v>
      </c>
      <c r="T101" s="2" t="s">
        <v>1891</v>
      </c>
      <c r="U101" s="3">
        <v>45574</v>
      </c>
      <c r="V101" s="3">
        <v>45709</v>
      </c>
      <c r="W101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10 meses</v>
      </c>
    </row>
    <row r="102" spans="1:23">
      <c r="A102" s="2">
        <v>101</v>
      </c>
      <c r="B102" s="2" t="s">
        <v>1892</v>
      </c>
      <c r="C102" s="5" t="s">
        <v>561</v>
      </c>
      <c r="D102" s="5" t="s">
        <v>108</v>
      </c>
      <c r="E102" s="2" t="s">
        <v>51</v>
      </c>
      <c r="F102" s="5" t="s">
        <v>29</v>
      </c>
      <c r="G102" s="2" t="s">
        <v>1893</v>
      </c>
      <c r="H102" s="2" t="s">
        <v>64</v>
      </c>
      <c r="I102" s="2" t="s">
        <v>1440</v>
      </c>
      <c r="J102" s="2" t="s">
        <v>1894</v>
      </c>
      <c r="K102" s="2" t="s">
        <v>1424</v>
      </c>
      <c r="L102" s="2" t="s">
        <v>1442</v>
      </c>
      <c r="M102" s="2" t="s">
        <v>108</v>
      </c>
      <c r="N102" s="2">
        <v>16</v>
      </c>
      <c r="O102" s="2" t="s">
        <v>1391</v>
      </c>
      <c r="P102" s="2" t="s">
        <v>1426</v>
      </c>
      <c r="Q102" s="2" t="s">
        <v>1381</v>
      </c>
      <c r="R102" s="2" t="s">
        <v>1382</v>
      </c>
      <c r="S102" s="2" t="s">
        <v>1443</v>
      </c>
      <c r="T102" s="2" t="s">
        <v>1895</v>
      </c>
      <c r="U102" s="3">
        <v>45726</v>
      </c>
      <c r="V102" s="3">
        <v>45740</v>
      </c>
      <c r="W102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5 meses</v>
      </c>
    </row>
    <row r="103" spans="1:23">
      <c r="A103" s="2">
        <v>102</v>
      </c>
      <c r="B103" s="2" t="s">
        <v>108</v>
      </c>
      <c r="C103" s="5" t="s">
        <v>564</v>
      </c>
      <c r="D103" s="5" t="s">
        <v>108</v>
      </c>
      <c r="E103" s="2" t="s">
        <v>50</v>
      </c>
      <c r="F103" s="5" t="s">
        <v>24</v>
      </c>
      <c r="G103" s="2" t="s">
        <v>1896</v>
      </c>
      <c r="H103" s="2" t="s">
        <v>64</v>
      </c>
      <c r="I103" s="2" t="s">
        <v>1874</v>
      </c>
      <c r="J103" s="2" t="s">
        <v>1897</v>
      </c>
      <c r="K103" s="2" t="s">
        <v>1398</v>
      </c>
      <c r="L103" s="2">
        <v>12500</v>
      </c>
      <c r="M103" s="2" t="s">
        <v>108</v>
      </c>
      <c r="N103" s="2">
        <v>16</v>
      </c>
      <c r="O103" s="2" t="s">
        <v>1379</v>
      </c>
      <c r="P103" s="2" t="s">
        <v>108</v>
      </c>
      <c r="Q103" s="2" t="s">
        <v>1381</v>
      </c>
      <c r="R103" s="2" t="s">
        <v>1382</v>
      </c>
      <c r="S103" s="2" t="s">
        <v>108</v>
      </c>
      <c r="T103" s="2" t="s">
        <v>108</v>
      </c>
      <c r="U103" s="3" t="s">
        <v>108</v>
      </c>
      <c r="V103" s="2" t="s">
        <v>108</v>
      </c>
      <c r="W103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-</v>
      </c>
    </row>
    <row r="104" spans="1:23" s="65" customFormat="1">
      <c r="A104" s="2">
        <v>103</v>
      </c>
      <c r="B104" s="2" t="s">
        <v>1898</v>
      </c>
      <c r="C104" s="5" t="s">
        <v>564</v>
      </c>
      <c r="D104" s="5" t="s">
        <v>108</v>
      </c>
      <c r="E104" s="2" t="s">
        <v>51</v>
      </c>
      <c r="F104" s="5" t="s">
        <v>24</v>
      </c>
      <c r="G104" s="2" t="s">
        <v>1899</v>
      </c>
      <c r="H104" s="2" t="s">
        <v>64</v>
      </c>
      <c r="I104" s="2" t="s">
        <v>1711</v>
      </c>
      <c r="J104" s="2" t="s">
        <v>1900</v>
      </c>
      <c r="K104" s="2" t="s">
        <v>1398</v>
      </c>
      <c r="L104" s="2" t="s">
        <v>1473</v>
      </c>
      <c r="M104" s="2" t="s">
        <v>108</v>
      </c>
      <c r="N104" s="2">
        <v>16</v>
      </c>
      <c r="O104" s="2" t="s">
        <v>1379</v>
      </c>
      <c r="P104" s="2" t="s">
        <v>1380</v>
      </c>
      <c r="Q104" s="2" t="s">
        <v>1381</v>
      </c>
      <c r="R104" s="2" t="s">
        <v>1382</v>
      </c>
      <c r="S104" s="2" t="s">
        <v>1474</v>
      </c>
      <c r="T104" s="2" t="s">
        <v>1901</v>
      </c>
      <c r="U104" s="3">
        <v>44078</v>
      </c>
      <c r="V104" s="3">
        <v>45791</v>
      </c>
      <c r="W104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5 años y 11 meses</v>
      </c>
    </row>
    <row r="105" spans="1:23">
      <c r="A105" s="2">
        <v>104</v>
      </c>
      <c r="B105" s="2" t="s">
        <v>1902</v>
      </c>
      <c r="C105" s="5" t="s">
        <v>569</v>
      </c>
      <c r="D105" s="5" t="s">
        <v>108</v>
      </c>
      <c r="E105" s="2" t="s">
        <v>51</v>
      </c>
      <c r="F105" s="5" t="s">
        <v>37</v>
      </c>
      <c r="G105" s="2" t="s">
        <v>1903</v>
      </c>
      <c r="H105" s="2" t="s">
        <v>1386</v>
      </c>
      <c r="I105" s="2" t="s">
        <v>1878</v>
      </c>
      <c r="J105" s="2" t="s">
        <v>1904</v>
      </c>
      <c r="K105" s="2" t="s">
        <v>1377</v>
      </c>
      <c r="L105" s="2" t="s">
        <v>1880</v>
      </c>
      <c r="M105" s="2" t="s">
        <v>108</v>
      </c>
      <c r="N105" s="2">
        <v>40</v>
      </c>
      <c r="O105" s="2" t="s">
        <v>1379</v>
      </c>
      <c r="P105" s="2" t="s">
        <v>1415</v>
      </c>
      <c r="Q105" s="2" t="s">
        <v>1381</v>
      </c>
      <c r="R105" s="2" t="s">
        <v>1382</v>
      </c>
      <c r="S105" s="2" t="s">
        <v>1886</v>
      </c>
      <c r="T105" s="2" t="s">
        <v>1905</v>
      </c>
      <c r="U105" s="3">
        <v>45057</v>
      </c>
      <c r="V105" s="3">
        <v>45939</v>
      </c>
      <c r="W105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3 años y 3 meses</v>
      </c>
    </row>
    <row r="106" spans="1:23">
      <c r="A106" s="2">
        <v>105</v>
      </c>
      <c r="B106" s="2" t="s">
        <v>1906</v>
      </c>
      <c r="C106" s="5" t="s">
        <v>573</v>
      </c>
      <c r="D106" s="5" t="s">
        <v>108</v>
      </c>
      <c r="E106" s="2" t="s">
        <v>51</v>
      </c>
      <c r="F106" s="5" t="s">
        <v>27</v>
      </c>
      <c r="G106" s="2" t="s">
        <v>1907</v>
      </c>
      <c r="H106" s="2" t="s">
        <v>64</v>
      </c>
      <c r="I106" s="2" t="s">
        <v>1452</v>
      </c>
      <c r="J106" s="2" t="s">
        <v>1908</v>
      </c>
      <c r="K106" s="2" t="s">
        <v>1398</v>
      </c>
      <c r="L106" s="2" t="s">
        <v>1454</v>
      </c>
      <c r="M106" s="2" t="s">
        <v>108</v>
      </c>
      <c r="N106" s="2">
        <v>16</v>
      </c>
      <c r="O106" s="2" t="s">
        <v>1379</v>
      </c>
      <c r="P106" s="2" t="s">
        <v>1415</v>
      </c>
      <c r="Q106" s="2" t="s">
        <v>1381</v>
      </c>
      <c r="R106" s="2" t="s">
        <v>1416</v>
      </c>
      <c r="S106" s="2" t="s">
        <v>1555</v>
      </c>
      <c r="T106" s="2" t="s">
        <v>1909</v>
      </c>
      <c r="U106" s="3">
        <v>45659</v>
      </c>
      <c r="V106" s="3">
        <v>45686</v>
      </c>
      <c r="W106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7 meses</v>
      </c>
    </row>
    <row r="107" spans="1:23">
      <c r="A107" s="2">
        <v>106</v>
      </c>
      <c r="B107" s="2" t="s">
        <v>1910</v>
      </c>
      <c r="C107" s="5" t="s">
        <v>577</v>
      </c>
      <c r="D107" s="5" t="s">
        <v>108</v>
      </c>
      <c r="E107" s="2" t="s">
        <v>51</v>
      </c>
      <c r="F107" s="5" t="s">
        <v>25</v>
      </c>
      <c r="G107" s="2" t="s">
        <v>1911</v>
      </c>
      <c r="H107" s="2" t="s">
        <v>1386</v>
      </c>
      <c r="I107" s="2" t="s">
        <v>1569</v>
      </c>
      <c r="J107" s="2" t="s">
        <v>1912</v>
      </c>
      <c r="K107" s="2" t="s">
        <v>1599</v>
      </c>
      <c r="L107" s="2" t="s">
        <v>1600</v>
      </c>
      <c r="M107" s="2" t="s">
        <v>108</v>
      </c>
      <c r="N107" s="2">
        <v>16</v>
      </c>
      <c r="O107" s="2" t="s">
        <v>1391</v>
      </c>
      <c r="P107" s="2" t="s">
        <v>1426</v>
      </c>
      <c r="Q107" s="2" t="s">
        <v>1381</v>
      </c>
      <c r="R107" s="2" t="s">
        <v>1382</v>
      </c>
      <c r="S107" s="2" t="s">
        <v>1572</v>
      </c>
      <c r="T107" s="2" t="s">
        <v>1913</v>
      </c>
      <c r="U107" s="3">
        <v>46055</v>
      </c>
      <c r="V107" s="3">
        <v>46065</v>
      </c>
      <c r="W107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0 años y 6 meses</v>
      </c>
    </row>
    <row r="108" spans="1:23">
      <c r="A108" s="2">
        <v>107</v>
      </c>
      <c r="B108" s="2" t="s">
        <v>1867</v>
      </c>
      <c r="C108" s="5" t="s">
        <v>582</v>
      </c>
      <c r="D108" s="5" t="s">
        <v>108</v>
      </c>
      <c r="E108" s="2" t="s">
        <v>51</v>
      </c>
      <c r="F108" s="5" t="s">
        <v>24</v>
      </c>
      <c r="G108" s="2" t="s">
        <v>1914</v>
      </c>
      <c r="H108" s="2" t="s">
        <v>64</v>
      </c>
      <c r="I108" s="2" t="s">
        <v>1869</v>
      </c>
      <c r="J108" s="2" t="s">
        <v>1915</v>
      </c>
      <c r="K108" s="2" t="s">
        <v>1461</v>
      </c>
      <c r="L108" s="2" t="s">
        <v>1871</v>
      </c>
      <c r="M108" s="2" t="s">
        <v>108</v>
      </c>
      <c r="N108" s="2">
        <v>16</v>
      </c>
      <c r="O108" s="2" t="s">
        <v>1379</v>
      </c>
      <c r="P108" s="2" t="s">
        <v>1415</v>
      </c>
      <c r="Q108" s="2" t="s">
        <v>1381</v>
      </c>
      <c r="R108" s="2" t="s">
        <v>1382</v>
      </c>
      <c r="S108" s="2" t="s">
        <v>1407</v>
      </c>
      <c r="T108" s="2" t="s">
        <v>1872</v>
      </c>
      <c r="U108" s="3">
        <v>43613</v>
      </c>
      <c r="V108" s="3">
        <v>45204</v>
      </c>
      <c r="W108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7 años y 2 meses</v>
      </c>
    </row>
    <row r="109" spans="1:23">
      <c r="A109" s="2">
        <v>108</v>
      </c>
      <c r="B109" s="2" t="s">
        <v>108</v>
      </c>
      <c r="C109" s="5" t="s">
        <v>582</v>
      </c>
      <c r="D109" s="5" t="s">
        <v>108</v>
      </c>
      <c r="E109" s="2" t="s">
        <v>50</v>
      </c>
      <c r="F109" s="5" t="s">
        <v>24</v>
      </c>
      <c r="G109" s="2" t="s">
        <v>1916</v>
      </c>
      <c r="H109" s="2" t="s">
        <v>64</v>
      </c>
      <c r="I109" s="2" t="s">
        <v>1874</v>
      </c>
      <c r="J109" s="2" t="s">
        <v>1917</v>
      </c>
      <c r="K109" s="2" t="s">
        <v>1398</v>
      </c>
      <c r="L109" s="2">
        <v>12500</v>
      </c>
      <c r="M109" s="2" t="s">
        <v>108</v>
      </c>
      <c r="N109" s="2">
        <v>16</v>
      </c>
      <c r="O109" s="2" t="s">
        <v>1379</v>
      </c>
      <c r="P109" s="2" t="s">
        <v>108</v>
      </c>
      <c r="Q109" s="2" t="s">
        <v>1381</v>
      </c>
      <c r="R109" s="2" t="s">
        <v>1382</v>
      </c>
      <c r="S109" s="2" t="s">
        <v>108</v>
      </c>
      <c r="T109" s="2" t="s">
        <v>108</v>
      </c>
      <c r="U109" s="3" t="s">
        <v>108</v>
      </c>
      <c r="V109" s="2" t="s">
        <v>108</v>
      </c>
      <c r="W109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-</v>
      </c>
    </row>
    <row r="110" spans="1:23">
      <c r="A110" s="2">
        <v>109</v>
      </c>
      <c r="B110" s="2" t="s">
        <v>1918</v>
      </c>
      <c r="C110" s="5" t="s">
        <v>586</v>
      </c>
      <c r="D110" s="5" t="s">
        <v>108</v>
      </c>
      <c r="E110" s="2" t="s">
        <v>51</v>
      </c>
      <c r="F110" s="5" t="s">
        <v>29</v>
      </c>
      <c r="G110" s="2" t="s">
        <v>1919</v>
      </c>
      <c r="H110" s="2" t="s">
        <v>64</v>
      </c>
      <c r="I110" s="2" t="s">
        <v>1440</v>
      </c>
      <c r="J110" s="2" t="s">
        <v>1920</v>
      </c>
      <c r="K110" s="2" t="s">
        <v>1424</v>
      </c>
      <c r="L110" s="2" t="s">
        <v>1442</v>
      </c>
      <c r="M110" s="2" t="s">
        <v>108</v>
      </c>
      <c r="N110" s="2">
        <v>16</v>
      </c>
      <c r="O110" s="2" t="s">
        <v>1391</v>
      </c>
      <c r="P110" s="2" t="s">
        <v>1426</v>
      </c>
      <c r="Q110" s="2" t="s">
        <v>1381</v>
      </c>
      <c r="R110" s="2" t="s">
        <v>1382</v>
      </c>
      <c r="S110" s="2" t="s">
        <v>1443</v>
      </c>
      <c r="T110" s="2" t="s">
        <v>1921</v>
      </c>
      <c r="U110" s="3">
        <v>45726</v>
      </c>
      <c r="V110" s="3">
        <v>45734</v>
      </c>
      <c r="W110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5 meses</v>
      </c>
    </row>
    <row r="111" spans="1:23">
      <c r="A111" s="2">
        <v>110</v>
      </c>
      <c r="B111" s="2" t="s">
        <v>1469</v>
      </c>
      <c r="C111" s="5" t="s">
        <v>589</v>
      </c>
      <c r="D111" s="5" t="s">
        <v>108</v>
      </c>
      <c r="E111" s="2" t="s">
        <v>51</v>
      </c>
      <c r="F111" s="5" t="s">
        <v>24</v>
      </c>
      <c r="G111" s="2" t="s">
        <v>1922</v>
      </c>
      <c r="H111" s="2" t="s">
        <v>64</v>
      </c>
      <c r="I111" s="2" t="s">
        <v>1471</v>
      </c>
      <c r="J111" s="2" t="s">
        <v>1923</v>
      </c>
      <c r="K111" s="2" t="s">
        <v>1398</v>
      </c>
      <c r="L111" s="2" t="s">
        <v>1473</v>
      </c>
      <c r="M111" s="2" t="s">
        <v>108</v>
      </c>
      <c r="N111" s="2">
        <v>16</v>
      </c>
      <c r="O111" s="2" t="s">
        <v>1379</v>
      </c>
      <c r="P111" s="2" t="s">
        <v>1380</v>
      </c>
      <c r="Q111" s="2" t="s">
        <v>1381</v>
      </c>
      <c r="R111" s="2" t="s">
        <v>1382</v>
      </c>
      <c r="S111" s="2" t="s">
        <v>1474</v>
      </c>
      <c r="T111" s="2" t="s">
        <v>1924</v>
      </c>
      <c r="U111" s="3">
        <v>44560</v>
      </c>
      <c r="V111" s="3">
        <v>45847</v>
      </c>
      <c r="W111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4 años y 7 meses</v>
      </c>
    </row>
    <row r="112" spans="1:23">
      <c r="A112" s="2">
        <v>111</v>
      </c>
      <c r="B112" s="2" t="s">
        <v>108</v>
      </c>
      <c r="C112" s="5" t="s">
        <v>589</v>
      </c>
      <c r="D112" s="5" t="s">
        <v>108</v>
      </c>
      <c r="E112" s="2" t="s">
        <v>50</v>
      </c>
      <c r="F112" s="5" t="s">
        <v>24</v>
      </c>
      <c r="G112" s="2" t="s">
        <v>1925</v>
      </c>
      <c r="H112" s="2" t="s">
        <v>64</v>
      </c>
      <c r="I112" s="2" t="s">
        <v>1874</v>
      </c>
      <c r="J112" s="2" t="s">
        <v>1926</v>
      </c>
      <c r="K112" s="2" t="s">
        <v>1398</v>
      </c>
      <c r="L112" s="2">
        <v>12500</v>
      </c>
      <c r="M112" s="2" t="s">
        <v>108</v>
      </c>
      <c r="N112" s="2">
        <v>16</v>
      </c>
      <c r="O112" s="2" t="s">
        <v>1379</v>
      </c>
      <c r="P112" s="2" t="s">
        <v>108</v>
      </c>
      <c r="Q112" s="2" t="s">
        <v>1381</v>
      </c>
      <c r="R112" s="2" t="s">
        <v>1382</v>
      </c>
      <c r="S112" s="2" t="s">
        <v>108</v>
      </c>
      <c r="T112" s="2" t="s">
        <v>108</v>
      </c>
      <c r="U112" s="3" t="s">
        <v>108</v>
      </c>
      <c r="V112" s="2" t="s">
        <v>108</v>
      </c>
      <c r="W112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-</v>
      </c>
    </row>
    <row r="113" spans="1:23">
      <c r="A113" s="2">
        <v>142</v>
      </c>
      <c r="B113" s="2" t="s">
        <v>1927</v>
      </c>
      <c r="C113" s="5" t="s">
        <v>593</v>
      </c>
      <c r="D113" s="5" t="s">
        <v>108</v>
      </c>
      <c r="E113" s="2" t="s">
        <v>51</v>
      </c>
      <c r="F113" s="5" t="s">
        <v>27</v>
      </c>
      <c r="G113" s="2" t="s">
        <v>1928</v>
      </c>
      <c r="H113" s="2" t="s">
        <v>64</v>
      </c>
      <c r="I113" s="2" t="s">
        <v>1655</v>
      </c>
      <c r="J113" s="2" t="s">
        <v>1929</v>
      </c>
      <c r="K113" s="2" t="s">
        <v>1377</v>
      </c>
      <c r="L113" s="2" t="s">
        <v>1930</v>
      </c>
      <c r="M113" s="2" t="s">
        <v>108</v>
      </c>
      <c r="N113" s="2">
        <v>16</v>
      </c>
      <c r="O113" s="2" t="s">
        <v>1379</v>
      </c>
      <c r="P113" s="2" t="s">
        <v>1380</v>
      </c>
      <c r="Q113" s="2" t="s">
        <v>1381</v>
      </c>
      <c r="R113" s="2" t="s">
        <v>1382</v>
      </c>
      <c r="S113" s="2" t="s">
        <v>1455</v>
      </c>
      <c r="T113" s="2" t="s">
        <v>1931</v>
      </c>
      <c r="U113" s="3">
        <v>45604</v>
      </c>
      <c r="V113" s="3">
        <v>45621</v>
      </c>
      <c r="W113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9 meses</v>
      </c>
    </row>
    <row r="114" spans="1:23">
      <c r="A114" s="2">
        <v>112</v>
      </c>
      <c r="B114" s="2" t="s">
        <v>1932</v>
      </c>
      <c r="C114" s="5" t="s">
        <v>598</v>
      </c>
      <c r="D114" s="5" t="s">
        <v>108</v>
      </c>
      <c r="E114" s="2" t="s">
        <v>51</v>
      </c>
      <c r="F114" s="5" t="s">
        <v>27</v>
      </c>
      <c r="G114" s="2" t="s">
        <v>1933</v>
      </c>
      <c r="H114" s="2" t="s">
        <v>64</v>
      </c>
      <c r="I114" s="2" t="s">
        <v>1523</v>
      </c>
      <c r="J114" s="2" t="s">
        <v>1934</v>
      </c>
      <c r="K114" s="2" t="s">
        <v>1398</v>
      </c>
      <c r="L114" s="2" t="s">
        <v>1525</v>
      </c>
      <c r="M114" s="2" t="s">
        <v>108</v>
      </c>
      <c r="N114" s="2">
        <v>8</v>
      </c>
      <c r="O114" s="2" t="s">
        <v>1379</v>
      </c>
      <c r="P114" s="2" t="s">
        <v>1415</v>
      </c>
      <c r="Q114" s="2" t="s">
        <v>1381</v>
      </c>
      <c r="R114" s="2" t="s">
        <v>1416</v>
      </c>
      <c r="S114" s="2" t="s">
        <v>1555</v>
      </c>
      <c r="T114" s="2" t="s">
        <v>1935</v>
      </c>
      <c r="U114" s="3">
        <v>45286</v>
      </c>
      <c r="V114" s="3">
        <v>45323</v>
      </c>
      <c r="W114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7 meses</v>
      </c>
    </row>
    <row r="115" spans="1:23">
      <c r="A115" s="2">
        <v>113</v>
      </c>
      <c r="B115" s="2" t="s">
        <v>1936</v>
      </c>
      <c r="C115" s="5" t="s">
        <v>602</v>
      </c>
      <c r="D115" s="5" t="s">
        <v>108</v>
      </c>
      <c r="E115" s="2" t="s">
        <v>51</v>
      </c>
      <c r="F115" s="5" t="s">
        <v>27</v>
      </c>
      <c r="G115" s="2" t="s">
        <v>1937</v>
      </c>
      <c r="H115" s="2" t="s">
        <v>64</v>
      </c>
      <c r="I115" s="2" t="s">
        <v>1411</v>
      </c>
      <c r="J115" s="2" t="s">
        <v>1938</v>
      </c>
      <c r="K115" s="2" t="s">
        <v>1377</v>
      </c>
      <c r="L115" s="2" t="s">
        <v>1413</v>
      </c>
      <c r="M115" s="2" t="s">
        <v>108</v>
      </c>
      <c r="N115" s="2">
        <v>16</v>
      </c>
      <c r="O115" s="2" t="s">
        <v>1379</v>
      </c>
      <c r="P115" s="2" t="s">
        <v>1415</v>
      </c>
      <c r="Q115" s="2" t="s">
        <v>1381</v>
      </c>
      <c r="R115" s="2" t="s">
        <v>1416</v>
      </c>
      <c r="S115" s="2" t="s">
        <v>1417</v>
      </c>
      <c r="T115" s="2" t="s">
        <v>1939</v>
      </c>
      <c r="U115" s="3">
        <v>45574</v>
      </c>
      <c r="V115" s="3">
        <v>45586</v>
      </c>
      <c r="W115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10 meses</v>
      </c>
    </row>
    <row r="116" spans="1:23">
      <c r="A116" s="2">
        <v>114</v>
      </c>
      <c r="B116" s="2" t="s">
        <v>1469</v>
      </c>
      <c r="C116" s="5" t="s">
        <v>606</v>
      </c>
      <c r="D116" s="5" t="s">
        <v>108</v>
      </c>
      <c r="E116" s="2" t="s">
        <v>51</v>
      </c>
      <c r="F116" s="5" t="s">
        <v>25</v>
      </c>
      <c r="G116" s="2" t="s">
        <v>1940</v>
      </c>
      <c r="H116" s="2" t="s">
        <v>64</v>
      </c>
      <c r="I116" s="2" t="s">
        <v>1471</v>
      </c>
      <c r="J116" s="2" t="s">
        <v>1941</v>
      </c>
      <c r="K116" s="2" t="s">
        <v>1398</v>
      </c>
      <c r="L116" s="2" t="s">
        <v>1473</v>
      </c>
      <c r="M116" s="2" t="s">
        <v>108</v>
      </c>
      <c r="N116" s="2">
        <v>16</v>
      </c>
      <c r="O116" s="2" t="s">
        <v>1379</v>
      </c>
      <c r="P116" s="2" t="s">
        <v>1380</v>
      </c>
      <c r="Q116" s="2" t="s">
        <v>1381</v>
      </c>
      <c r="R116" s="2" t="s">
        <v>1382</v>
      </c>
      <c r="S116" s="2" t="s">
        <v>1474</v>
      </c>
      <c r="T116" s="2" t="s">
        <v>1942</v>
      </c>
      <c r="U116" s="3">
        <v>44561</v>
      </c>
      <c r="V116" s="3">
        <v>45820</v>
      </c>
      <c r="W116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4 años y 7 meses</v>
      </c>
    </row>
    <row r="117" spans="1:23" ht="29.25">
      <c r="A117" s="2">
        <v>115</v>
      </c>
      <c r="B117" s="2" t="s">
        <v>1943</v>
      </c>
      <c r="C117" s="5" t="s">
        <v>606</v>
      </c>
      <c r="D117" s="5" t="s">
        <v>1944</v>
      </c>
      <c r="E117" s="2" t="s">
        <v>51</v>
      </c>
      <c r="F117" s="5" t="s">
        <v>25</v>
      </c>
      <c r="G117" s="2" t="s">
        <v>1945</v>
      </c>
      <c r="H117" s="2" t="s">
        <v>1386</v>
      </c>
      <c r="I117" s="2" t="s">
        <v>1946</v>
      </c>
      <c r="J117" s="2" t="s">
        <v>1947</v>
      </c>
      <c r="K117" s="2" t="s">
        <v>1398</v>
      </c>
      <c r="L117" s="2" t="s">
        <v>1537</v>
      </c>
      <c r="M117" s="2" t="s">
        <v>108</v>
      </c>
      <c r="N117" s="2">
        <v>16</v>
      </c>
      <c r="O117" s="2" t="s">
        <v>1379</v>
      </c>
      <c r="P117" s="2" t="s">
        <v>1380</v>
      </c>
      <c r="Q117" s="2" t="s">
        <v>1381</v>
      </c>
      <c r="R117" s="2" t="s">
        <v>1382</v>
      </c>
      <c r="S117" s="2" t="s">
        <v>1401</v>
      </c>
      <c r="T117" s="2" t="s">
        <v>1948</v>
      </c>
      <c r="U117" s="3">
        <v>45111</v>
      </c>
      <c r="V117" s="3">
        <v>45134</v>
      </c>
      <c r="W117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3 años y 1 mes</v>
      </c>
    </row>
    <row r="118" spans="1:23">
      <c r="A118" s="2">
        <v>116</v>
      </c>
      <c r="B118" s="2" t="s">
        <v>1949</v>
      </c>
      <c r="C118" s="5" t="s">
        <v>611</v>
      </c>
      <c r="D118" s="5" t="s">
        <v>108</v>
      </c>
      <c r="E118" s="2" t="s">
        <v>51</v>
      </c>
      <c r="F118" s="5" t="s">
        <v>27</v>
      </c>
      <c r="G118" s="2" t="s">
        <v>1950</v>
      </c>
      <c r="H118" s="2" t="s">
        <v>64</v>
      </c>
      <c r="I118" s="2" t="s">
        <v>1523</v>
      </c>
      <c r="J118" s="2" t="s">
        <v>1951</v>
      </c>
      <c r="K118" s="2" t="s">
        <v>1398</v>
      </c>
      <c r="L118" s="2" t="s">
        <v>1537</v>
      </c>
      <c r="M118" s="2" t="s">
        <v>108</v>
      </c>
      <c r="N118" s="2">
        <v>8</v>
      </c>
      <c r="O118" s="2" t="s">
        <v>1379</v>
      </c>
      <c r="P118" s="2" t="s">
        <v>1415</v>
      </c>
      <c r="Q118" s="2" t="s">
        <v>1381</v>
      </c>
      <c r="R118" s="2" t="s">
        <v>1416</v>
      </c>
      <c r="S118" s="2" t="s">
        <v>1455</v>
      </c>
      <c r="T118" s="2" t="s">
        <v>1952</v>
      </c>
      <c r="U118" s="3">
        <v>45261</v>
      </c>
      <c r="V118" s="3">
        <v>46020</v>
      </c>
      <c r="W118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8 meses</v>
      </c>
    </row>
    <row r="119" spans="1:23">
      <c r="A119" s="2">
        <v>117</v>
      </c>
      <c r="B119" s="2" t="s">
        <v>1953</v>
      </c>
      <c r="C119" s="5" t="s">
        <v>615</v>
      </c>
      <c r="D119" s="5" t="s">
        <v>108</v>
      </c>
      <c r="E119" s="2" t="s">
        <v>51</v>
      </c>
      <c r="F119" s="5" t="s">
        <v>39</v>
      </c>
      <c r="G119" s="2" t="s">
        <v>1954</v>
      </c>
      <c r="H119" s="2" t="s">
        <v>64</v>
      </c>
      <c r="I119" s="2" t="s">
        <v>1523</v>
      </c>
      <c r="J119" s="2" t="s">
        <v>1955</v>
      </c>
      <c r="K119" s="2" t="s">
        <v>1398</v>
      </c>
      <c r="L119" s="2" t="s">
        <v>1525</v>
      </c>
      <c r="M119" s="2" t="s">
        <v>108</v>
      </c>
      <c r="N119" s="2">
        <v>8</v>
      </c>
      <c r="O119" s="2" t="s">
        <v>1379</v>
      </c>
      <c r="P119" s="2" t="s">
        <v>1415</v>
      </c>
      <c r="Q119" s="2" t="s">
        <v>1381</v>
      </c>
      <c r="R119" s="2" t="s">
        <v>1382</v>
      </c>
      <c r="S119" s="2" t="s">
        <v>1555</v>
      </c>
      <c r="T119" s="2" t="s">
        <v>1956</v>
      </c>
      <c r="U119" s="3">
        <v>45286</v>
      </c>
      <c r="V119" s="3">
        <v>46030</v>
      </c>
      <c r="W119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7 meses</v>
      </c>
    </row>
    <row r="120" spans="1:23">
      <c r="A120" s="2">
        <v>118</v>
      </c>
      <c r="B120" s="2" t="s">
        <v>1957</v>
      </c>
      <c r="C120" s="5" t="s">
        <v>619</v>
      </c>
      <c r="D120" s="5" t="s">
        <v>108</v>
      </c>
      <c r="E120" s="2" t="s">
        <v>51</v>
      </c>
      <c r="F120" s="5" t="s">
        <v>27</v>
      </c>
      <c r="G120" s="2" t="s">
        <v>1958</v>
      </c>
      <c r="H120" s="2" t="s">
        <v>64</v>
      </c>
      <c r="I120" s="2" t="s">
        <v>1523</v>
      </c>
      <c r="J120" s="2" t="s">
        <v>1959</v>
      </c>
      <c r="K120" s="2" t="s">
        <v>1398</v>
      </c>
      <c r="L120" s="2" t="s">
        <v>1525</v>
      </c>
      <c r="M120" s="2" t="s">
        <v>108</v>
      </c>
      <c r="N120" s="2">
        <v>8</v>
      </c>
      <c r="O120" s="2" t="s">
        <v>1379</v>
      </c>
      <c r="P120" s="2" t="s">
        <v>1415</v>
      </c>
      <c r="Q120" s="2" t="s">
        <v>1381</v>
      </c>
      <c r="R120" s="2" t="s">
        <v>1416</v>
      </c>
      <c r="S120" s="2" t="s">
        <v>1407</v>
      </c>
      <c r="T120" s="2" t="s">
        <v>1960</v>
      </c>
      <c r="U120" s="3">
        <v>45286</v>
      </c>
      <c r="V120" s="3">
        <v>45734</v>
      </c>
      <c r="W120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7 meses</v>
      </c>
    </row>
    <row r="121" spans="1:23">
      <c r="A121" s="2">
        <v>119</v>
      </c>
      <c r="B121" s="2" t="s">
        <v>1961</v>
      </c>
      <c r="C121" s="5" t="s">
        <v>623</v>
      </c>
      <c r="D121" s="5" t="s">
        <v>108</v>
      </c>
      <c r="E121" s="2" t="s">
        <v>51</v>
      </c>
      <c r="F121" s="5" t="s">
        <v>27</v>
      </c>
      <c r="G121" s="2" t="s">
        <v>1962</v>
      </c>
      <c r="H121" s="2" t="s">
        <v>64</v>
      </c>
      <c r="I121" s="2" t="s">
        <v>1523</v>
      </c>
      <c r="J121" s="2" t="s">
        <v>1963</v>
      </c>
      <c r="K121" s="2" t="s">
        <v>1398</v>
      </c>
      <c r="L121" s="2" t="s">
        <v>1537</v>
      </c>
      <c r="M121" s="2" t="s">
        <v>108</v>
      </c>
      <c r="N121" s="2">
        <v>8</v>
      </c>
      <c r="O121" s="2" t="s">
        <v>1379</v>
      </c>
      <c r="P121" s="2" t="s">
        <v>1415</v>
      </c>
      <c r="Q121" s="2" t="s">
        <v>1381</v>
      </c>
      <c r="R121" s="2" t="s">
        <v>1416</v>
      </c>
      <c r="S121" s="2" t="s">
        <v>1455</v>
      </c>
      <c r="T121" s="2" t="s">
        <v>1964</v>
      </c>
      <c r="U121" s="3">
        <v>45261</v>
      </c>
      <c r="V121" s="3">
        <v>45819</v>
      </c>
      <c r="W121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8 meses</v>
      </c>
    </row>
    <row r="122" spans="1:23">
      <c r="A122" s="2">
        <v>121</v>
      </c>
      <c r="B122" s="2" t="s">
        <v>1965</v>
      </c>
      <c r="C122" s="5" t="s">
        <v>632</v>
      </c>
      <c r="D122" s="5" t="s">
        <v>108</v>
      </c>
      <c r="E122" s="2" t="s">
        <v>51</v>
      </c>
      <c r="F122" s="5" t="s">
        <v>22</v>
      </c>
      <c r="G122" s="2" t="s">
        <v>1966</v>
      </c>
      <c r="H122" s="2" t="s">
        <v>64</v>
      </c>
      <c r="I122" s="2" t="s">
        <v>1452</v>
      </c>
      <c r="J122" s="2" t="s">
        <v>1967</v>
      </c>
      <c r="K122" s="2" t="s">
        <v>1398</v>
      </c>
      <c r="L122" s="2" t="s">
        <v>1454</v>
      </c>
      <c r="M122" s="2" t="s">
        <v>108</v>
      </c>
      <c r="N122" s="2">
        <v>16</v>
      </c>
      <c r="O122" s="2" t="s">
        <v>1379</v>
      </c>
      <c r="P122" s="2" t="s">
        <v>1415</v>
      </c>
      <c r="Q122" s="2" t="s">
        <v>1381</v>
      </c>
      <c r="R122" s="2" t="s">
        <v>1382</v>
      </c>
      <c r="S122" s="2" t="s">
        <v>1555</v>
      </c>
      <c r="T122" s="2" t="s">
        <v>1968</v>
      </c>
      <c r="U122" s="3">
        <v>45659</v>
      </c>
      <c r="V122" s="3">
        <v>45686</v>
      </c>
      <c r="W122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7 meses</v>
      </c>
    </row>
    <row r="123" spans="1:23">
      <c r="A123" s="2">
        <v>122</v>
      </c>
      <c r="B123" s="2" t="s">
        <v>1969</v>
      </c>
      <c r="C123" s="5" t="s">
        <v>637</v>
      </c>
      <c r="D123" s="5" t="s">
        <v>108</v>
      </c>
      <c r="E123" s="2" t="s">
        <v>51</v>
      </c>
      <c r="F123" s="5" t="s">
        <v>27</v>
      </c>
      <c r="G123" s="2" t="s">
        <v>1970</v>
      </c>
      <c r="H123" s="2" t="s">
        <v>64</v>
      </c>
      <c r="I123" s="2" t="s">
        <v>1638</v>
      </c>
      <c r="J123" s="2" t="s">
        <v>1971</v>
      </c>
      <c r="K123" s="2" t="s">
        <v>1461</v>
      </c>
      <c r="L123" s="2" t="s">
        <v>1640</v>
      </c>
      <c r="M123" s="2" t="s">
        <v>108</v>
      </c>
      <c r="N123" s="2">
        <v>8</v>
      </c>
      <c r="O123" s="2" t="s">
        <v>1379</v>
      </c>
      <c r="P123" s="2" t="s">
        <v>1415</v>
      </c>
      <c r="Q123" s="2" t="s">
        <v>1381</v>
      </c>
      <c r="R123" s="2" t="s">
        <v>1416</v>
      </c>
      <c r="S123" s="2" t="s">
        <v>1455</v>
      </c>
      <c r="T123" s="2" t="s">
        <v>1972</v>
      </c>
      <c r="U123" s="3">
        <v>45111</v>
      </c>
      <c r="V123" s="3">
        <v>45825</v>
      </c>
      <c r="W123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3 años y 1 mes</v>
      </c>
    </row>
    <row r="124" spans="1:23">
      <c r="A124" s="2">
        <v>123</v>
      </c>
      <c r="B124" s="2" t="s">
        <v>1973</v>
      </c>
      <c r="C124" s="5" t="s">
        <v>641</v>
      </c>
      <c r="D124" s="5" t="s">
        <v>108</v>
      </c>
      <c r="E124" s="2" t="s">
        <v>51</v>
      </c>
      <c r="F124" s="5" t="s">
        <v>28</v>
      </c>
      <c r="G124" s="2" t="s">
        <v>1974</v>
      </c>
      <c r="H124" s="2" t="s">
        <v>1386</v>
      </c>
      <c r="I124" s="2" t="s">
        <v>1743</v>
      </c>
      <c r="J124" s="2" t="s">
        <v>1975</v>
      </c>
      <c r="K124" s="2" t="s">
        <v>1424</v>
      </c>
      <c r="L124" s="2" t="s">
        <v>1442</v>
      </c>
      <c r="M124" s="2" t="s">
        <v>108</v>
      </c>
      <c r="N124" s="2">
        <v>32</v>
      </c>
      <c r="O124" s="2" t="s">
        <v>1391</v>
      </c>
      <c r="P124" s="2" t="s">
        <v>1426</v>
      </c>
      <c r="Q124" s="2" t="s">
        <v>1381</v>
      </c>
      <c r="R124" s="2" t="s">
        <v>1382</v>
      </c>
      <c r="S124" s="2" t="s">
        <v>1976</v>
      </c>
      <c r="T124" s="2" t="s">
        <v>1977</v>
      </c>
      <c r="U124" s="3">
        <v>45915</v>
      </c>
      <c r="V124" s="3">
        <v>45916</v>
      </c>
      <c r="W124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0 años y 10 meses</v>
      </c>
    </row>
    <row r="125" spans="1:23">
      <c r="A125" s="2">
        <v>124</v>
      </c>
      <c r="B125" s="2" t="s">
        <v>1978</v>
      </c>
      <c r="C125" s="5" t="s">
        <v>646</v>
      </c>
      <c r="D125" s="5" t="s">
        <v>108</v>
      </c>
      <c r="E125" s="2" t="s">
        <v>51</v>
      </c>
      <c r="F125" s="5" t="s">
        <v>30</v>
      </c>
      <c r="G125" s="2" t="s">
        <v>1979</v>
      </c>
      <c r="H125" s="2" t="s">
        <v>64</v>
      </c>
      <c r="I125" s="2" t="s">
        <v>1655</v>
      </c>
      <c r="J125" s="2" t="s">
        <v>1980</v>
      </c>
      <c r="K125" s="2" t="s">
        <v>1377</v>
      </c>
      <c r="L125" s="2" t="s">
        <v>1930</v>
      </c>
      <c r="M125" s="2" t="s">
        <v>108</v>
      </c>
      <c r="N125" s="2">
        <v>16</v>
      </c>
      <c r="O125" s="2" t="s">
        <v>1379</v>
      </c>
      <c r="P125" s="2" t="s">
        <v>1380</v>
      </c>
      <c r="Q125" s="2" t="s">
        <v>1381</v>
      </c>
      <c r="R125" s="2" t="s">
        <v>1382</v>
      </c>
      <c r="S125" s="2" t="s">
        <v>1455</v>
      </c>
      <c r="T125" s="2" t="s">
        <v>1981</v>
      </c>
      <c r="U125" s="3">
        <v>45427</v>
      </c>
      <c r="V125" s="3">
        <v>45432</v>
      </c>
      <c r="W125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2 meses</v>
      </c>
    </row>
    <row r="126" spans="1:23">
      <c r="A126" s="2">
        <v>140</v>
      </c>
      <c r="B126" s="2" t="s">
        <v>1982</v>
      </c>
      <c r="C126" s="5" t="s">
        <v>1983</v>
      </c>
      <c r="D126" s="5" t="s">
        <v>108</v>
      </c>
      <c r="E126" s="2" t="s">
        <v>51</v>
      </c>
      <c r="F126" s="5" t="s">
        <v>27</v>
      </c>
      <c r="G126" s="2" t="s">
        <v>1984</v>
      </c>
      <c r="H126" s="2" t="s">
        <v>64</v>
      </c>
      <c r="I126" s="2" t="s">
        <v>1523</v>
      </c>
      <c r="J126" s="2" t="s">
        <v>1985</v>
      </c>
      <c r="K126" s="2" t="s">
        <v>1398</v>
      </c>
      <c r="L126" s="2" t="s">
        <v>1525</v>
      </c>
      <c r="M126" s="2" t="s">
        <v>108</v>
      </c>
      <c r="N126" s="2">
        <v>8</v>
      </c>
      <c r="O126" s="2" t="s">
        <v>1379</v>
      </c>
      <c r="P126" s="2" t="s">
        <v>1415</v>
      </c>
      <c r="Q126" s="2" t="s">
        <v>1381</v>
      </c>
      <c r="R126" s="2" t="s">
        <v>1416</v>
      </c>
      <c r="S126" s="2" t="s">
        <v>1555</v>
      </c>
      <c r="T126" s="2" t="s">
        <v>1986</v>
      </c>
      <c r="U126" s="3">
        <v>45286</v>
      </c>
      <c r="V126" s="3">
        <v>45310</v>
      </c>
      <c r="W126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7 meses</v>
      </c>
    </row>
    <row r="127" spans="1:23">
      <c r="A127" s="2">
        <v>126</v>
      </c>
      <c r="B127" s="2" t="s">
        <v>1987</v>
      </c>
      <c r="C127" s="5" t="s">
        <v>655</v>
      </c>
      <c r="D127" s="5" t="s">
        <v>108</v>
      </c>
      <c r="E127" s="2" t="s">
        <v>51</v>
      </c>
      <c r="F127" s="5" t="s">
        <v>27</v>
      </c>
      <c r="G127" s="2" t="s">
        <v>1988</v>
      </c>
      <c r="H127" s="2" t="s">
        <v>64</v>
      </c>
      <c r="I127" s="2" t="s">
        <v>1523</v>
      </c>
      <c r="J127" s="2" t="s">
        <v>1989</v>
      </c>
      <c r="K127" s="2" t="s">
        <v>1398</v>
      </c>
      <c r="L127" s="2" t="s">
        <v>1525</v>
      </c>
      <c r="M127" s="2" t="s">
        <v>108</v>
      </c>
      <c r="N127" s="2">
        <v>8</v>
      </c>
      <c r="O127" s="2" t="s">
        <v>1379</v>
      </c>
      <c r="P127" s="2" t="s">
        <v>1415</v>
      </c>
      <c r="Q127" s="2" t="s">
        <v>1381</v>
      </c>
      <c r="R127" s="2" t="s">
        <v>1416</v>
      </c>
      <c r="S127" s="2" t="s">
        <v>1555</v>
      </c>
      <c r="T127" s="2" t="s">
        <v>1990</v>
      </c>
      <c r="U127" s="3">
        <v>45286</v>
      </c>
      <c r="V127" s="3">
        <v>45317</v>
      </c>
      <c r="W127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7 meses</v>
      </c>
    </row>
    <row r="128" spans="1:23">
      <c r="A128" s="2">
        <v>127</v>
      </c>
      <c r="B128" s="2" t="s">
        <v>1991</v>
      </c>
      <c r="C128" s="5" t="s">
        <v>659</v>
      </c>
      <c r="D128" s="5" t="s">
        <v>108</v>
      </c>
      <c r="E128" s="2" t="s">
        <v>51</v>
      </c>
      <c r="F128" s="5" t="s">
        <v>29</v>
      </c>
      <c r="G128" s="2" t="s">
        <v>1992</v>
      </c>
      <c r="H128" s="2" t="s">
        <v>64</v>
      </c>
      <c r="I128" s="2" t="s">
        <v>1440</v>
      </c>
      <c r="J128" s="2" t="s">
        <v>1993</v>
      </c>
      <c r="K128" s="2" t="s">
        <v>1424</v>
      </c>
      <c r="L128" s="2" t="s">
        <v>1442</v>
      </c>
      <c r="M128" s="2" t="s">
        <v>108</v>
      </c>
      <c r="N128" s="2">
        <v>16</v>
      </c>
      <c r="O128" s="2" t="s">
        <v>1391</v>
      </c>
      <c r="P128" s="2" t="s">
        <v>1426</v>
      </c>
      <c r="Q128" s="2" t="s">
        <v>1381</v>
      </c>
      <c r="R128" s="2" t="s">
        <v>1382</v>
      </c>
      <c r="S128" s="2" t="s">
        <v>1443</v>
      </c>
      <c r="T128" s="2" t="s">
        <v>1994</v>
      </c>
      <c r="U128" s="3">
        <v>45726</v>
      </c>
      <c r="V128" s="3">
        <v>45735</v>
      </c>
      <c r="W128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5 meses</v>
      </c>
    </row>
    <row r="129" spans="1:23">
      <c r="A129" s="2">
        <v>128</v>
      </c>
      <c r="B129" s="2" t="s">
        <v>1995</v>
      </c>
      <c r="C129" s="5" t="s">
        <v>663</v>
      </c>
      <c r="D129" s="5" t="s">
        <v>108</v>
      </c>
      <c r="E129" s="2" t="s">
        <v>51</v>
      </c>
      <c r="F129" s="5" t="s">
        <v>27</v>
      </c>
      <c r="G129" s="2" t="s">
        <v>1996</v>
      </c>
      <c r="H129" s="2" t="s">
        <v>64</v>
      </c>
      <c r="I129" s="2" t="s">
        <v>1523</v>
      </c>
      <c r="J129" s="2" t="s">
        <v>1997</v>
      </c>
      <c r="K129" s="2" t="s">
        <v>1398</v>
      </c>
      <c r="L129" s="2" t="s">
        <v>1525</v>
      </c>
      <c r="M129" s="2" t="s">
        <v>108</v>
      </c>
      <c r="N129" s="2">
        <v>8</v>
      </c>
      <c r="O129" s="2" t="s">
        <v>1379</v>
      </c>
      <c r="P129" s="2" t="s">
        <v>1415</v>
      </c>
      <c r="Q129" s="2" t="s">
        <v>1381</v>
      </c>
      <c r="R129" s="2" t="s">
        <v>1416</v>
      </c>
      <c r="S129" s="2" t="s">
        <v>1455</v>
      </c>
      <c r="T129" s="2" t="s">
        <v>1998</v>
      </c>
      <c r="U129" s="3">
        <v>45261</v>
      </c>
      <c r="V129" s="3">
        <v>45910</v>
      </c>
      <c r="W129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8 meses</v>
      </c>
    </row>
    <row r="130" spans="1:23">
      <c r="A130" s="2">
        <v>129</v>
      </c>
      <c r="B130" s="2" t="s">
        <v>1898</v>
      </c>
      <c r="C130" s="5" t="s">
        <v>668</v>
      </c>
      <c r="D130" s="5" t="s">
        <v>108</v>
      </c>
      <c r="E130" s="2" t="s">
        <v>51</v>
      </c>
      <c r="F130" s="5" t="s">
        <v>21</v>
      </c>
      <c r="G130" s="2" t="s">
        <v>1999</v>
      </c>
      <c r="H130" s="2" t="s">
        <v>64</v>
      </c>
      <c r="I130" s="2" t="s">
        <v>1711</v>
      </c>
      <c r="J130" s="2" t="s">
        <v>2000</v>
      </c>
      <c r="K130" s="2" t="s">
        <v>1398</v>
      </c>
      <c r="L130" s="2" t="s">
        <v>1473</v>
      </c>
      <c r="M130" s="2" t="s">
        <v>108</v>
      </c>
      <c r="N130" s="2">
        <v>12</v>
      </c>
      <c r="O130" s="2" t="s">
        <v>1379</v>
      </c>
      <c r="P130" s="2" t="s">
        <v>1380</v>
      </c>
      <c r="Q130" s="2" t="s">
        <v>1381</v>
      </c>
      <c r="R130" s="2" t="s">
        <v>1382</v>
      </c>
      <c r="S130" s="2" t="s">
        <v>1474</v>
      </c>
      <c r="T130" s="2" t="s">
        <v>2001</v>
      </c>
      <c r="U130" s="3">
        <v>44078</v>
      </c>
      <c r="V130" s="3">
        <v>44083</v>
      </c>
      <c r="W130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5 años y 11 meses</v>
      </c>
    </row>
    <row r="131" spans="1:23">
      <c r="A131" s="2">
        <v>130</v>
      </c>
      <c r="B131" s="2" t="s">
        <v>2002</v>
      </c>
      <c r="C131" s="5" t="s">
        <v>673</v>
      </c>
      <c r="D131" s="5" t="s">
        <v>108</v>
      </c>
      <c r="E131" s="2" t="s">
        <v>51</v>
      </c>
      <c r="F131" s="5" t="s">
        <v>27</v>
      </c>
      <c r="G131" s="2" t="s">
        <v>2003</v>
      </c>
      <c r="H131" s="2" t="s">
        <v>64</v>
      </c>
      <c r="I131" s="2" t="s">
        <v>1411</v>
      </c>
      <c r="J131" s="2" t="s">
        <v>2004</v>
      </c>
      <c r="K131" s="2" t="s">
        <v>1377</v>
      </c>
      <c r="L131" s="2" t="s">
        <v>1413</v>
      </c>
      <c r="M131" s="2" t="s">
        <v>108</v>
      </c>
      <c r="N131" s="2">
        <v>16</v>
      </c>
      <c r="O131" s="2" t="s">
        <v>1379</v>
      </c>
      <c r="P131" s="2" t="s">
        <v>1415</v>
      </c>
      <c r="Q131" s="2" t="s">
        <v>1381</v>
      </c>
      <c r="R131" s="2" t="s">
        <v>1416</v>
      </c>
      <c r="S131" s="2" t="s">
        <v>1417</v>
      </c>
      <c r="T131" s="2" t="s">
        <v>2005</v>
      </c>
      <c r="U131" s="3">
        <v>45604</v>
      </c>
      <c r="V131" s="3">
        <v>45644</v>
      </c>
      <c r="W131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9 meses</v>
      </c>
    </row>
    <row r="132" spans="1:23">
      <c r="A132" s="2">
        <v>131</v>
      </c>
      <c r="B132" s="2" t="s">
        <v>2006</v>
      </c>
      <c r="C132" s="5" t="s">
        <v>677</v>
      </c>
      <c r="D132" s="5" t="s">
        <v>108</v>
      </c>
      <c r="E132" s="2" t="s">
        <v>51</v>
      </c>
      <c r="F132" s="5" t="s">
        <v>27</v>
      </c>
      <c r="G132" s="2" t="s">
        <v>2007</v>
      </c>
      <c r="H132" s="2" t="s">
        <v>64</v>
      </c>
      <c r="I132" s="2" t="s">
        <v>1459</v>
      </c>
      <c r="J132" s="2" t="s">
        <v>2008</v>
      </c>
      <c r="K132" s="2" t="s">
        <v>1461</v>
      </c>
      <c r="L132" s="2" t="s">
        <v>1560</v>
      </c>
      <c r="M132" s="2" t="s">
        <v>108</v>
      </c>
      <c r="N132" s="2">
        <v>8</v>
      </c>
      <c r="O132" s="2" t="s">
        <v>1379</v>
      </c>
      <c r="P132" s="2" t="s">
        <v>1415</v>
      </c>
      <c r="Q132" s="2" t="s">
        <v>1381</v>
      </c>
      <c r="R132" s="2" t="s">
        <v>1416</v>
      </c>
      <c r="S132" s="2" t="s">
        <v>1455</v>
      </c>
      <c r="T132" s="2" t="s">
        <v>2009</v>
      </c>
      <c r="U132" s="3">
        <v>45040</v>
      </c>
      <c r="V132" s="3">
        <v>45792</v>
      </c>
      <c r="W132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3 años y 3 meses</v>
      </c>
    </row>
    <row r="133" spans="1:23">
      <c r="A133" s="2">
        <v>132</v>
      </c>
      <c r="B133" s="2" t="s">
        <v>2010</v>
      </c>
      <c r="C133" s="5" t="s">
        <v>681</v>
      </c>
      <c r="D133" s="5" t="s">
        <v>108</v>
      </c>
      <c r="E133" s="2" t="s">
        <v>51</v>
      </c>
      <c r="F133" s="5" t="s">
        <v>24</v>
      </c>
      <c r="G133" s="2" t="s">
        <v>2011</v>
      </c>
      <c r="H133" s="2" t="s">
        <v>1502</v>
      </c>
      <c r="I133" s="2" t="s">
        <v>2012</v>
      </c>
      <c r="J133" s="2" t="s">
        <v>2013</v>
      </c>
      <c r="K133" s="2" t="s">
        <v>1398</v>
      </c>
      <c r="L133" s="2" t="s">
        <v>1399</v>
      </c>
      <c r="M133" s="2" t="s">
        <v>108</v>
      </c>
      <c r="N133" s="2">
        <v>8</v>
      </c>
      <c r="O133" s="2" t="s">
        <v>2014</v>
      </c>
      <c r="P133" s="2" t="s">
        <v>1415</v>
      </c>
      <c r="Q133" s="2" t="s">
        <v>1381</v>
      </c>
      <c r="R133" s="2" t="s">
        <v>1382</v>
      </c>
      <c r="S133" s="2" t="s">
        <v>2015</v>
      </c>
      <c r="T133" s="2" t="s">
        <v>2016</v>
      </c>
      <c r="U133" s="3">
        <v>44330</v>
      </c>
      <c r="V133" s="3">
        <v>45247</v>
      </c>
      <c r="W133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5 años y 2 meses</v>
      </c>
    </row>
    <row r="134" spans="1:23">
      <c r="A134" s="2">
        <v>133</v>
      </c>
      <c r="B134" s="2" t="s">
        <v>108</v>
      </c>
      <c r="C134" s="5" t="s">
        <v>681</v>
      </c>
      <c r="D134" s="5" t="s">
        <v>108</v>
      </c>
      <c r="E134" s="2" t="s">
        <v>50</v>
      </c>
      <c r="F134" s="5" t="s">
        <v>24</v>
      </c>
      <c r="G134" s="2" t="s">
        <v>2017</v>
      </c>
      <c r="H134" s="2" t="s">
        <v>64</v>
      </c>
      <c r="I134" s="2" t="s">
        <v>1874</v>
      </c>
      <c r="J134" s="2" t="s">
        <v>2018</v>
      </c>
      <c r="K134" s="2" t="s">
        <v>1398</v>
      </c>
      <c r="L134" s="2">
        <v>12500</v>
      </c>
      <c r="M134" s="2" t="s">
        <v>108</v>
      </c>
      <c r="N134" s="2">
        <v>16</v>
      </c>
      <c r="O134" s="2" t="s">
        <v>1379</v>
      </c>
      <c r="P134" s="2" t="s">
        <v>108</v>
      </c>
      <c r="Q134" s="2" t="s">
        <v>1381</v>
      </c>
      <c r="R134" s="2" t="s">
        <v>1382</v>
      </c>
      <c r="S134" s="2" t="s">
        <v>108</v>
      </c>
      <c r="T134" s="2" t="s">
        <v>108</v>
      </c>
      <c r="U134" s="3" t="s">
        <v>108</v>
      </c>
      <c r="V134" s="2" t="s">
        <v>108</v>
      </c>
      <c r="W134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-</v>
      </c>
    </row>
    <row r="135" spans="1:23">
      <c r="A135" s="2">
        <v>135</v>
      </c>
      <c r="B135" s="2" t="s">
        <v>2019</v>
      </c>
      <c r="C135" s="5" t="s">
        <v>232</v>
      </c>
      <c r="D135" s="5" t="s">
        <v>108</v>
      </c>
      <c r="E135" s="2" t="s">
        <v>51</v>
      </c>
      <c r="F135" s="5" t="s">
        <v>27</v>
      </c>
      <c r="G135" s="2" t="s">
        <v>2020</v>
      </c>
      <c r="H135" s="2" t="s">
        <v>64</v>
      </c>
      <c r="I135" s="2" t="s">
        <v>1447</v>
      </c>
      <c r="J135" s="2" t="s">
        <v>2021</v>
      </c>
      <c r="K135" s="2" t="s">
        <v>1599</v>
      </c>
      <c r="L135" s="2" t="s">
        <v>1731</v>
      </c>
      <c r="M135" s="2" t="s">
        <v>108</v>
      </c>
      <c r="N135" s="2">
        <v>16</v>
      </c>
      <c r="O135" s="2" t="s">
        <v>1379</v>
      </c>
      <c r="P135" s="2" t="s">
        <v>1415</v>
      </c>
      <c r="Q135" s="2" t="s">
        <v>1381</v>
      </c>
      <c r="R135" s="2" t="s">
        <v>1382</v>
      </c>
      <c r="S135" s="2" t="s">
        <v>2022</v>
      </c>
      <c r="T135" s="2" t="s">
        <v>2023</v>
      </c>
      <c r="U135" s="3">
        <v>45806</v>
      </c>
      <c r="V135" s="3">
        <v>45810</v>
      </c>
      <c r="W135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2 meses</v>
      </c>
    </row>
    <row r="136" spans="1:23">
      <c r="A136" s="2">
        <v>136</v>
      </c>
      <c r="B136" s="2" t="s">
        <v>2024</v>
      </c>
      <c r="C136" s="5" t="s">
        <v>697</v>
      </c>
      <c r="D136" s="5" t="s">
        <v>108</v>
      </c>
      <c r="E136" s="2" t="s">
        <v>51</v>
      </c>
      <c r="F136" s="5" t="s">
        <v>27</v>
      </c>
      <c r="G136" s="2" t="s">
        <v>2025</v>
      </c>
      <c r="H136" s="2" t="s">
        <v>64</v>
      </c>
      <c r="I136" s="2" t="s">
        <v>1452</v>
      </c>
      <c r="J136" s="2" t="s">
        <v>2026</v>
      </c>
      <c r="K136" s="2" t="s">
        <v>1398</v>
      </c>
      <c r="L136" s="2" t="s">
        <v>1454</v>
      </c>
      <c r="M136" s="2" t="s">
        <v>108</v>
      </c>
      <c r="N136" s="2">
        <v>16</v>
      </c>
      <c r="O136" s="2" t="s">
        <v>1379</v>
      </c>
      <c r="P136" s="2" t="s">
        <v>1415</v>
      </c>
      <c r="Q136" s="2" t="s">
        <v>1381</v>
      </c>
      <c r="R136" s="2" t="s">
        <v>1416</v>
      </c>
      <c r="S136" s="2" t="s">
        <v>1555</v>
      </c>
      <c r="T136" s="2" t="s">
        <v>2027</v>
      </c>
      <c r="U136" s="3">
        <v>45659</v>
      </c>
      <c r="V136" s="3">
        <v>45748</v>
      </c>
      <c r="W136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7 meses</v>
      </c>
    </row>
    <row r="137" spans="1:23">
      <c r="A137" s="2">
        <v>137</v>
      </c>
      <c r="B137" s="2" t="s">
        <v>2028</v>
      </c>
      <c r="C137" s="5" t="s">
        <v>2029</v>
      </c>
      <c r="D137" s="5" t="s">
        <v>108</v>
      </c>
      <c r="E137" s="2" t="s">
        <v>51</v>
      </c>
      <c r="F137" s="5" t="s">
        <v>25</v>
      </c>
      <c r="G137" s="2" t="s">
        <v>2030</v>
      </c>
      <c r="H137" s="2" t="s">
        <v>1386</v>
      </c>
      <c r="I137" s="2" t="s">
        <v>1516</v>
      </c>
      <c r="J137" s="2" t="s">
        <v>2031</v>
      </c>
      <c r="K137" s="2" t="s">
        <v>1377</v>
      </c>
      <c r="L137" s="2" t="s">
        <v>2032</v>
      </c>
      <c r="M137" s="2" t="s">
        <v>108</v>
      </c>
      <c r="N137" s="2">
        <v>20</v>
      </c>
      <c r="O137" s="2" t="s">
        <v>1391</v>
      </c>
      <c r="P137" s="2" t="s">
        <v>1380</v>
      </c>
      <c r="Q137" s="2" t="s">
        <v>1381</v>
      </c>
      <c r="R137" s="2" t="s">
        <v>1382</v>
      </c>
      <c r="S137" s="2" t="s">
        <v>2033</v>
      </c>
      <c r="T137" s="2" t="s">
        <v>2034</v>
      </c>
      <c r="U137" s="3">
        <v>43572</v>
      </c>
      <c r="V137" s="3">
        <v>46121</v>
      </c>
      <c r="W137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7 años y 3 meses</v>
      </c>
    </row>
    <row r="138" spans="1:23">
      <c r="A138" s="2">
        <v>138</v>
      </c>
      <c r="B138" s="2" t="s">
        <v>2035</v>
      </c>
      <c r="C138" s="5" t="s">
        <v>701</v>
      </c>
      <c r="D138" s="5" t="s">
        <v>108</v>
      </c>
      <c r="E138" s="2" t="s">
        <v>51</v>
      </c>
      <c r="F138" s="5" t="s">
        <v>27</v>
      </c>
      <c r="G138" s="2" t="s">
        <v>2036</v>
      </c>
      <c r="H138" s="2" t="s">
        <v>64</v>
      </c>
      <c r="I138" s="2" t="s">
        <v>1452</v>
      </c>
      <c r="J138" s="2" t="s">
        <v>2037</v>
      </c>
      <c r="K138" s="2" t="s">
        <v>1398</v>
      </c>
      <c r="L138" s="2" t="s">
        <v>1454</v>
      </c>
      <c r="M138" s="2" t="s">
        <v>108</v>
      </c>
      <c r="N138" s="2">
        <v>16</v>
      </c>
      <c r="O138" s="2" t="s">
        <v>1379</v>
      </c>
      <c r="P138" s="2" t="s">
        <v>1415</v>
      </c>
      <c r="Q138" s="2" t="s">
        <v>1381</v>
      </c>
      <c r="R138" s="2" t="s">
        <v>1382</v>
      </c>
      <c r="S138" s="2" t="s">
        <v>1555</v>
      </c>
      <c r="T138" s="2" t="s">
        <v>2038</v>
      </c>
      <c r="U138" s="3">
        <v>45659</v>
      </c>
      <c r="V138" s="3">
        <v>45687</v>
      </c>
      <c r="W138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7 meses</v>
      </c>
    </row>
    <row r="139" spans="1:23">
      <c r="A139" s="2">
        <v>139</v>
      </c>
      <c r="B139" s="2" t="s">
        <v>2039</v>
      </c>
      <c r="C139" s="5" t="s">
        <v>705</v>
      </c>
      <c r="D139" s="5" t="s">
        <v>108</v>
      </c>
      <c r="E139" s="2" t="s">
        <v>51</v>
      </c>
      <c r="F139" s="5" t="s">
        <v>22</v>
      </c>
      <c r="G139" s="2" t="s">
        <v>2040</v>
      </c>
      <c r="H139" s="2" t="s">
        <v>64</v>
      </c>
      <c r="I139" s="2" t="s">
        <v>1523</v>
      </c>
      <c r="J139" s="2" t="s">
        <v>2041</v>
      </c>
      <c r="K139" s="2" t="s">
        <v>1398</v>
      </c>
      <c r="L139" s="2" t="s">
        <v>1525</v>
      </c>
      <c r="M139" s="2" t="s">
        <v>108</v>
      </c>
      <c r="N139" s="2">
        <v>8</v>
      </c>
      <c r="O139" s="2" t="s">
        <v>1379</v>
      </c>
      <c r="P139" s="2" t="s">
        <v>1415</v>
      </c>
      <c r="Q139" s="2" t="s">
        <v>1381</v>
      </c>
      <c r="R139" s="2" t="s">
        <v>1416</v>
      </c>
      <c r="S139" s="2" t="s">
        <v>1531</v>
      </c>
      <c r="T139" s="2" t="s">
        <v>2042</v>
      </c>
      <c r="U139" s="3">
        <v>45286</v>
      </c>
      <c r="V139" s="3">
        <v>45754</v>
      </c>
      <c r="W139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7 meses</v>
      </c>
    </row>
    <row r="140" spans="1:23">
      <c r="A140" s="2">
        <v>141</v>
      </c>
      <c r="B140" s="2" t="s">
        <v>2043</v>
      </c>
      <c r="C140" s="5" t="s">
        <v>719</v>
      </c>
      <c r="D140" s="5" t="s">
        <v>108</v>
      </c>
      <c r="E140" s="2" t="s">
        <v>51</v>
      </c>
      <c r="F140" s="5" t="s">
        <v>27</v>
      </c>
      <c r="G140" s="2" t="s">
        <v>2044</v>
      </c>
      <c r="H140" s="2" t="s">
        <v>64</v>
      </c>
      <c r="I140" s="2" t="s">
        <v>1452</v>
      </c>
      <c r="J140" s="2" t="s">
        <v>2045</v>
      </c>
      <c r="K140" s="2" t="s">
        <v>1398</v>
      </c>
      <c r="L140" s="2" t="s">
        <v>1454</v>
      </c>
      <c r="M140" s="2" t="s">
        <v>108</v>
      </c>
      <c r="N140" s="2">
        <v>16</v>
      </c>
      <c r="O140" s="2" t="s">
        <v>1379</v>
      </c>
      <c r="P140" s="2" t="s">
        <v>1415</v>
      </c>
      <c r="Q140" s="2" t="s">
        <v>1381</v>
      </c>
      <c r="R140" s="2" t="s">
        <v>1416</v>
      </c>
      <c r="S140" s="2" t="s">
        <v>1555</v>
      </c>
      <c r="T140" s="2" t="s">
        <v>2046</v>
      </c>
      <c r="U140" s="3">
        <v>45659</v>
      </c>
      <c r="V140" s="3">
        <v>46063</v>
      </c>
      <c r="W140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7 meses</v>
      </c>
    </row>
    <row r="141" spans="1:23">
      <c r="A141" s="2">
        <v>168</v>
      </c>
      <c r="B141" s="2" t="s">
        <v>2047</v>
      </c>
      <c r="C141" s="5" t="s">
        <v>42</v>
      </c>
      <c r="D141" s="5" t="s">
        <v>108</v>
      </c>
      <c r="E141" s="2" t="s">
        <v>51</v>
      </c>
      <c r="F141" s="5" t="s">
        <v>42</v>
      </c>
      <c r="G141" s="2" t="s">
        <v>2048</v>
      </c>
      <c r="H141" s="2" t="s">
        <v>64</v>
      </c>
      <c r="I141" s="2" t="s">
        <v>1433</v>
      </c>
      <c r="J141" s="2" t="s">
        <v>2049</v>
      </c>
      <c r="K141" s="2" t="s">
        <v>1377</v>
      </c>
      <c r="L141" s="2" t="s">
        <v>1757</v>
      </c>
      <c r="M141" s="2" t="s">
        <v>108</v>
      </c>
      <c r="N141" s="2">
        <v>16</v>
      </c>
      <c r="O141" s="2" t="s">
        <v>1391</v>
      </c>
      <c r="P141" s="2" t="s">
        <v>1380</v>
      </c>
      <c r="Q141" s="2" t="s">
        <v>1381</v>
      </c>
      <c r="R141" s="2" t="s">
        <v>1382</v>
      </c>
      <c r="S141" s="2" t="s">
        <v>2050</v>
      </c>
      <c r="T141" s="2" t="s">
        <v>2051</v>
      </c>
      <c r="U141" s="3">
        <v>44421</v>
      </c>
      <c r="V141" s="2" t="s">
        <v>108</v>
      </c>
      <c r="W141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4 años y 11 meses</v>
      </c>
    </row>
    <row r="142" spans="1:23">
      <c r="A142" s="2">
        <v>170</v>
      </c>
      <c r="B142" s="2" t="s">
        <v>2052</v>
      </c>
      <c r="C142" s="5" t="s">
        <v>723</v>
      </c>
      <c r="D142" s="5" t="s">
        <v>108</v>
      </c>
      <c r="E142" s="2" t="s">
        <v>51</v>
      </c>
      <c r="F142" s="5" t="s">
        <v>27</v>
      </c>
      <c r="G142" s="2" t="s">
        <v>2053</v>
      </c>
      <c r="H142" s="2" t="s">
        <v>1386</v>
      </c>
      <c r="I142" s="2" t="s">
        <v>2054</v>
      </c>
      <c r="J142" s="2" t="s">
        <v>2055</v>
      </c>
      <c r="K142" s="2" t="s">
        <v>1599</v>
      </c>
      <c r="L142" s="2" t="s">
        <v>1600</v>
      </c>
      <c r="M142" s="2" t="s">
        <v>2056</v>
      </c>
      <c r="N142" s="2">
        <v>32</v>
      </c>
      <c r="O142" s="2" t="s">
        <v>1391</v>
      </c>
      <c r="P142" s="2" t="s">
        <v>1426</v>
      </c>
      <c r="Q142" s="2" t="s">
        <v>1381</v>
      </c>
      <c r="R142" s="2" t="s">
        <v>1382</v>
      </c>
      <c r="S142" s="2" t="s">
        <v>1572</v>
      </c>
      <c r="T142" s="2" t="s">
        <v>2057</v>
      </c>
      <c r="U142" s="3" t="s">
        <v>1429</v>
      </c>
      <c r="V142" s="2" t="s">
        <v>1332</v>
      </c>
      <c r="W142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-</v>
      </c>
    </row>
    <row r="143" spans="1:23">
      <c r="A143" s="2">
        <v>143</v>
      </c>
      <c r="B143" s="2" t="s">
        <v>2058</v>
      </c>
      <c r="C143" s="5" t="s">
        <v>728</v>
      </c>
      <c r="D143" s="5" t="s">
        <v>108</v>
      </c>
      <c r="E143" s="2" t="s">
        <v>51</v>
      </c>
      <c r="F143" s="5" t="s">
        <v>27</v>
      </c>
      <c r="G143" s="2" t="s">
        <v>2059</v>
      </c>
      <c r="H143" s="2" t="s">
        <v>64</v>
      </c>
      <c r="I143" s="2" t="s">
        <v>1411</v>
      </c>
      <c r="J143" s="2" t="s">
        <v>2060</v>
      </c>
      <c r="K143" s="2" t="s">
        <v>1377</v>
      </c>
      <c r="L143" s="2" t="s">
        <v>1930</v>
      </c>
      <c r="M143" s="2" t="s">
        <v>108</v>
      </c>
      <c r="N143" s="2">
        <v>16</v>
      </c>
      <c r="O143" s="2" t="s">
        <v>1379</v>
      </c>
      <c r="P143" s="2" t="s">
        <v>1415</v>
      </c>
      <c r="Q143" s="2" t="s">
        <v>1381</v>
      </c>
      <c r="R143" s="2" t="s">
        <v>1416</v>
      </c>
      <c r="S143" s="2" t="s">
        <v>1417</v>
      </c>
      <c r="T143" s="2" t="s">
        <v>2061</v>
      </c>
      <c r="U143" s="3">
        <v>45574</v>
      </c>
      <c r="V143" s="3">
        <v>45586</v>
      </c>
      <c r="W143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10 meses</v>
      </c>
    </row>
    <row r="144" spans="1:23" s="65" customFormat="1">
      <c r="A144" s="2">
        <v>168</v>
      </c>
      <c r="B144" s="2" t="s">
        <v>2062</v>
      </c>
      <c r="C144" s="5" t="s">
        <v>732</v>
      </c>
      <c r="D144" s="5" t="s">
        <v>108</v>
      </c>
      <c r="E144" s="2" t="s">
        <v>51</v>
      </c>
      <c r="F144" s="5" t="s">
        <v>25</v>
      </c>
      <c r="G144" s="2" t="s">
        <v>2063</v>
      </c>
      <c r="H144" s="2" t="s">
        <v>1386</v>
      </c>
      <c r="I144" s="2" t="s">
        <v>2054</v>
      </c>
      <c r="J144" s="2" t="s">
        <v>2064</v>
      </c>
      <c r="K144" s="2" t="s">
        <v>1599</v>
      </c>
      <c r="L144" s="2" t="s">
        <v>1600</v>
      </c>
      <c r="M144" s="2" t="s">
        <v>2056</v>
      </c>
      <c r="N144" s="2">
        <v>16</v>
      </c>
      <c r="O144" s="2" t="s">
        <v>1391</v>
      </c>
      <c r="P144" s="2" t="s">
        <v>1426</v>
      </c>
      <c r="Q144" s="2" t="s">
        <v>1381</v>
      </c>
      <c r="R144" s="2" t="s">
        <v>1382</v>
      </c>
      <c r="S144" s="2" t="s">
        <v>1572</v>
      </c>
      <c r="T144" s="2" t="s">
        <v>2065</v>
      </c>
      <c r="U144" s="3" t="s">
        <v>1429</v>
      </c>
      <c r="V144" s="2" t="s">
        <v>1338</v>
      </c>
      <c r="W144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-</v>
      </c>
    </row>
    <row r="145" spans="1:23">
      <c r="A145" s="2">
        <v>162</v>
      </c>
      <c r="B145" s="2" t="s">
        <v>2066</v>
      </c>
      <c r="C145" s="5" t="s">
        <v>732</v>
      </c>
      <c r="D145" s="5" t="s">
        <v>108</v>
      </c>
      <c r="E145" s="2" t="s">
        <v>51</v>
      </c>
      <c r="F145" s="5" t="s">
        <v>27</v>
      </c>
      <c r="G145" s="2" t="s">
        <v>2067</v>
      </c>
      <c r="H145" s="2" t="s">
        <v>64</v>
      </c>
      <c r="I145" s="2" t="s">
        <v>1541</v>
      </c>
      <c r="J145" s="2" t="s">
        <v>2068</v>
      </c>
      <c r="K145" s="2" t="s">
        <v>1377</v>
      </c>
      <c r="L145" s="2" t="s">
        <v>1757</v>
      </c>
      <c r="M145" s="2" t="s">
        <v>108</v>
      </c>
      <c r="N145" s="2">
        <v>16</v>
      </c>
      <c r="O145" s="2" t="s">
        <v>1379</v>
      </c>
      <c r="P145" s="2" t="s">
        <v>1415</v>
      </c>
      <c r="Q145" s="2" t="s">
        <v>1381</v>
      </c>
      <c r="R145" s="2" t="s">
        <v>1382</v>
      </c>
      <c r="S145" s="2" t="s">
        <v>1474</v>
      </c>
      <c r="T145" s="2" t="s">
        <v>2069</v>
      </c>
      <c r="U145" s="3">
        <v>44498</v>
      </c>
      <c r="V145" s="3">
        <v>45880</v>
      </c>
      <c r="W145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4 años y 9 meses</v>
      </c>
    </row>
    <row r="146" spans="1:23">
      <c r="A146" s="2">
        <v>144</v>
      </c>
      <c r="B146" s="2" t="s">
        <v>2070</v>
      </c>
      <c r="C146" s="5" t="s">
        <v>737</v>
      </c>
      <c r="D146" s="5" t="s">
        <v>108</v>
      </c>
      <c r="E146" s="2" t="s">
        <v>51</v>
      </c>
      <c r="F146" s="5" t="s">
        <v>37</v>
      </c>
      <c r="G146" s="2" t="s">
        <v>2071</v>
      </c>
      <c r="H146" s="2" t="s">
        <v>1386</v>
      </c>
      <c r="I146" s="2" t="s">
        <v>1725</v>
      </c>
      <c r="J146" s="2" t="s">
        <v>2072</v>
      </c>
      <c r="K146" s="2" t="s">
        <v>1377</v>
      </c>
      <c r="L146" s="2" t="s">
        <v>1389</v>
      </c>
      <c r="M146" s="2" t="s">
        <v>108</v>
      </c>
      <c r="N146" s="2">
        <v>16</v>
      </c>
      <c r="O146" s="2" t="s">
        <v>1379</v>
      </c>
      <c r="P146" s="2" t="s">
        <v>1415</v>
      </c>
      <c r="Q146" s="2" t="s">
        <v>1381</v>
      </c>
      <c r="R146" s="2" t="s">
        <v>1382</v>
      </c>
      <c r="S146" s="2" t="s">
        <v>1401</v>
      </c>
      <c r="T146" s="2" t="s">
        <v>2073</v>
      </c>
      <c r="U146" s="3">
        <v>44916</v>
      </c>
      <c r="V146" s="3">
        <v>44917</v>
      </c>
      <c r="W146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3 años y 7 meses</v>
      </c>
    </row>
    <row r="147" spans="1:23">
      <c r="A147" s="2">
        <v>145</v>
      </c>
      <c r="B147" s="2" t="s">
        <v>1482</v>
      </c>
      <c r="C147" s="5" t="s">
        <v>1339</v>
      </c>
      <c r="D147" s="5" t="s">
        <v>108</v>
      </c>
      <c r="E147" s="2" t="s">
        <v>51</v>
      </c>
      <c r="F147" s="5" t="s">
        <v>24</v>
      </c>
      <c r="G147" s="2" t="s">
        <v>2074</v>
      </c>
      <c r="H147" s="2" t="s">
        <v>1386</v>
      </c>
      <c r="I147" s="2" t="s">
        <v>2075</v>
      </c>
      <c r="J147" s="2" t="s">
        <v>2076</v>
      </c>
      <c r="K147" s="2" t="s">
        <v>1398</v>
      </c>
      <c r="L147" s="2" t="s">
        <v>2077</v>
      </c>
      <c r="M147" s="2" t="s">
        <v>108</v>
      </c>
      <c r="N147" s="2">
        <v>16</v>
      </c>
      <c r="O147" s="2" t="s">
        <v>1379</v>
      </c>
      <c r="P147" s="2" t="s">
        <v>1415</v>
      </c>
      <c r="Q147" s="2" t="s">
        <v>1381</v>
      </c>
      <c r="R147" s="2" t="s">
        <v>1382</v>
      </c>
      <c r="S147" s="2" t="s">
        <v>1513</v>
      </c>
      <c r="T147" s="2" t="s">
        <v>2078</v>
      </c>
      <c r="U147" s="3">
        <v>42852</v>
      </c>
      <c r="V147" s="3">
        <v>45701</v>
      </c>
      <c r="W147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9 años y 3 meses</v>
      </c>
    </row>
    <row r="148" spans="1:23">
      <c r="A148" s="2">
        <v>146</v>
      </c>
      <c r="B148" s="2" t="s">
        <v>108</v>
      </c>
      <c r="C148" s="5" t="s">
        <v>1339</v>
      </c>
      <c r="D148" s="5" t="s">
        <v>108</v>
      </c>
      <c r="E148" s="2" t="s">
        <v>50</v>
      </c>
      <c r="F148" s="5" t="s">
        <v>24</v>
      </c>
      <c r="G148" s="2" t="s">
        <v>2079</v>
      </c>
      <c r="H148" s="2" t="s">
        <v>64</v>
      </c>
      <c r="I148" s="2" t="s">
        <v>1874</v>
      </c>
      <c r="J148" s="2" t="s">
        <v>2080</v>
      </c>
      <c r="K148" s="2" t="s">
        <v>1398</v>
      </c>
      <c r="L148" s="2">
        <v>12500</v>
      </c>
      <c r="M148" s="2" t="s">
        <v>108</v>
      </c>
      <c r="N148" s="2">
        <v>16</v>
      </c>
      <c r="O148" s="2" t="s">
        <v>1379</v>
      </c>
      <c r="P148" s="2" t="s">
        <v>108</v>
      </c>
      <c r="Q148" s="2" t="s">
        <v>1381</v>
      </c>
      <c r="R148" s="2" t="s">
        <v>1382</v>
      </c>
      <c r="S148" s="2" t="s">
        <v>108</v>
      </c>
      <c r="T148" s="2" t="s">
        <v>108</v>
      </c>
      <c r="U148" s="3" t="s">
        <v>108</v>
      </c>
      <c r="V148" s="2" t="s">
        <v>108</v>
      </c>
      <c r="W148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-</v>
      </c>
    </row>
    <row r="149" spans="1:23">
      <c r="A149" s="2">
        <v>147</v>
      </c>
      <c r="B149" s="2" t="s">
        <v>2081</v>
      </c>
      <c r="C149" s="5" t="s">
        <v>217</v>
      </c>
      <c r="D149" s="5" t="s">
        <v>108</v>
      </c>
      <c r="E149" s="2" t="s">
        <v>51</v>
      </c>
      <c r="F149" s="5" t="s">
        <v>33</v>
      </c>
      <c r="G149" s="2" t="s">
        <v>2082</v>
      </c>
      <c r="H149" s="2" t="s">
        <v>64</v>
      </c>
      <c r="I149" s="2" t="s">
        <v>2083</v>
      </c>
      <c r="J149" s="2" t="s">
        <v>2084</v>
      </c>
      <c r="K149" s="2" t="s">
        <v>1377</v>
      </c>
      <c r="L149" s="2" t="s">
        <v>1930</v>
      </c>
      <c r="M149" s="2" t="s">
        <v>108</v>
      </c>
      <c r="N149" s="2">
        <v>32</v>
      </c>
      <c r="O149" s="2" t="s">
        <v>1391</v>
      </c>
      <c r="P149" s="2" t="s">
        <v>1426</v>
      </c>
      <c r="Q149" s="2" t="s">
        <v>1381</v>
      </c>
      <c r="R149" s="2" t="s">
        <v>1382</v>
      </c>
      <c r="S149" s="2" t="s">
        <v>1480</v>
      </c>
      <c r="T149" s="2" t="s">
        <v>2085</v>
      </c>
      <c r="U149" s="3">
        <v>45363</v>
      </c>
      <c r="V149" s="3">
        <v>45364</v>
      </c>
      <c r="W149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4 meses</v>
      </c>
    </row>
    <row r="150" spans="1:23">
      <c r="A150" s="2">
        <v>148</v>
      </c>
      <c r="B150" s="2" t="s">
        <v>2086</v>
      </c>
      <c r="C150" s="5" t="s">
        <v>749</v>
      </c>
      <c r="D150" s="5" t="s">
        <v>108</v>
      </c>
      <c r="E150" s="2" t="s">
        <v>51</v>
      </c>
      <c r="F150" s="5" t="s">
        <v>25</v>
      </c>
      <c r="G150" s="2" t="s">
        <v>2087</v>
      </c>
      <c r="H150" s="2" t="s">
        <v>1386</v>
      </c>
      <c r="I150" s="2" t="s">
        <v>2088</v>
      </c>
      <c r="J150" s="2" t="s">
        <v>2089</v>
      </c>
      <c r="K150" s="2" t="s">
        <v>1599</v>
      </c>
      <c r="L150" s="2" t="s">
        <v>1600</v>
      </c>
      <c r="M150" s="2" t="s">
        <v>108</v>
      </c>
      <c r="N150" s="2">
        <v>16</v>
      </c>
      <c r="O150" s="2" t="s">
        <v>1379</v>
      </c>
      <c r="P150" s="2" t="s">
        <v>1415</v>
      </c>
      <c r="Q150" s="2" t="s">
        <v>1381</v>
      </c>
      <c r="R150" s="2" t="s">
        <v>1382</v>
      </c>
      <c r="S150" s="2" t="s">
        <v>1572</v>
      </c>
      <c r="T150" s="2" t="s">
        <v>2090</v>
      </c>
      <c r="U150" s="3">
        <v>46055</v>
      </c>
      <c r="V150" s="3">
        <v>46063</v>
      </c>
      <c r="W150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0 años y 6 meses</v>
      </c>
    </row>
    <row r="151" spans="1:23">
      <c r="A151" s="2">
        <v>149</v>
      </c>
      <c r="B151" s="2" t="s">
        <v>108</v>
      </c>
      <c r="C151" s="5" t="s">
        <v>749</v>
      </c>
      <c r="D151" s="5" t="s">
        <v>108</v>
      </c>
      <c r="E151" s="2" t="s">
        <v>50</v>
      </c>
      <c r="F151" s="5" t="s">
        <v>25</v>
      </c>
      <c r="G151" s="2" t="s">
        <v>2091</v>
      </c>
      <c r="H151" s="2" t="s">
        <v>1631</v>
      </c>
      <c r="I151" s="2" t="s">
        <v>2092</v>
      </c>
      <c r="J151" s="2" t="s">
        <v>2093</v>
      </c>
      <c r="K151" s="2" t="s">
        <v>1377</v>
      </c>
      <c r="L151" s="2">
        <v>7700</v>
      </c>
      <c r="M151" s="2" t="s">
        <v>108</v>
      </c>
      <c r="N151" s="2">
        <v>8</v>
      </c>
      <c r="O151" s="2" t="s">
        <v>1391</v>
      </c>
      <c r="P151" s="2" t="s">
        <v>108</v>
      </c>
      <c r="Q151" s="2" t="s">
        <v>1381</v>
      </c>
      <c r="R151" s="2" t="s">
        <v>108</v>
      </c>
      <c r="S151" s="2" t="s">
        <v>108</v>
      </c>
      <c r="T151" s="2" t="s">
        <v>108</v>
      </c>
      <c r="U151" s="3" t="s">
        <v>108</v>
      </c>
      <c r="V151" s="2" t="s">
        <v>108</v>
      </c>
      <c r="W151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-</v>
      </c>
    </row>
    <row r="152" spans="1:23">
      <c r="A152" s="2">
        <v>151</v>
      </c>
      <c r="B152" s="2" t="s">
        <v>2094</v>
      </c>
      <c r="C152" s="5" t="s">
        <v>758</v>
      </c>
      <c r="D152" s="5" t="s">
        <v>108</v>
      </c>
      <c r="E152" s="2" t="s">
        <v>51</v>
      </c>
      <c r="F152" s="5" t="s">
        <v>22</v>
      </c>
      <c r="G152" s="2" t="s">
        <v>2095</v>
      </c>
      <c r="H152" s="2" t="s">
        <v>64</v>
      </c>
      <c r="I152" s="2" t="s">
        <v>1523</v>
      </c>
      <c r="J152" s="2" t="s">
        <v>2096</v>
      </c>
      <c r="K152" s="2" t="s">
        <v>1398</v>
      </c>
      <c r="L152" s="2" t="s">
        <v>1525</v>
      </c>
      <c r="M152" s="2" t="s">
        <v>108</v>
      </c>
      <c r="N152" s="2">
        <v>8</v>
      </c>
      <c r="O152" s="2" t="s">
        <v>1379</v>
      </c>
      <c r="P152" s="2" t="s">
        <v>1415</v>
      </c>
      <c r="Q152" s="2" t="s">
        <v>1381</v>
      </c>
      <c r="R152" s="2" t="s">
        <v>1416</v>
      </c>
      <c r="S152" s="2" t="s">
        <v>1455</v>
      </c>
      <c r="T152" s="2" t="s">
        <v>2097</v>
      </c>
      <c r="U152" s="3">
        <v>45261</v>
      </c>
      <c r="V152" s="3">
        <v>45887</v>
      </c>
      <c r="W152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8 meses</v>
      </c>
    </row>
    <row r="153" spans="1:23">
      <c r="A153" s="2">
        <v>152</v>
      </c>
      <c r="B153" s="2" t="s">
        <v>2098</v>
      </c>
      <c r="C153" s="5" t="s">
        <v>762</v>
      </c>
      <c r="D153" s="5" t="s">
        <v>108</v>
      </c>
      <c r="E153" s="2" t="s">
        <v>51</v>
      </c>
      <c r="F153" s="5" t="s">
        <v>27</v>
      </c>
      <c r="G153" s="2" t="s">
        <v>2099</v>
      </c>
      <c r="H153" s="2" t="s">
        <v>64</v>
      </c>
      <c r="I153" s="2" t="s">
        <v>1411</v>
      </c>
      <c r="J153" s="2" t="s">
        <v>2100</v>
      </c>
      <c r="K153" s="2" t="s">
        <v>1377</v>
      </c>
      <c r="L153" s="2" t="s">
        <v>1413</v>
      </c>
      <c r="M153" s="2" t="s">
        <v>108</v>
      </c>
      <c r="N153" s="2">
        <v>16</v>
      </c>
      <c r="O153" s="2" t="s">
        <v>1379</v>
      </c>
      <c r="P153" s="2" t="s">
        <v>1415</v>
      </c>
      <c r="Q153" s="2" t="s">
        <v>1381</v>
      </c>
      <c r="R153" s="2" t="s">
        <v>1416</v>
      </c>
      <c r="S153" s="2" t="s">
        <v>1417</v>
      </c>
      <c r="T153" s="2" t="s">
        <v>2101</v>
      </c>
      <c r="U153" s="3">
        <v>45574</v>
      </c>
      <c r="V153" s="3">
        <v>45644</v>
      </c>
      <c r="W153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10 meses</v>
      </c>
    </row>
    <row r="154" spans="1:23">
      <c r="A154" s="2">
        <v>160</v>
      </c>
      <c r="B154" s="2" t="s">
        <v>2102</v>
      </c>
      <c r="C154" s="5" t="s">
        <v>685</v>
      </c>
      <c r="D154" s="5" t="s">
        <v>108</v>
      </c>
      <c r="E154" s="2" t="s">
        <v>51</v>
      </c>
      <c r="F154" s="5" t="s">
        <v>39</v>
      </c>
      <c r="G154" s="2" t="s">
        <v>2103</v>
      </c>
      <c r="H154" s="2" t="s">
        <v>1386</v>
      </c>
      <c r="I154" s="2" t="s">
        <v>2104</v>
      </c>
      <c r="J154" s="2" t="s">
        <v>2105</v>
      </c>
      <c r="K154" s="2" t="s">
        <v>1377</v>
      </c>
      <c r="L154" s="2" t="s">
        <v>1586</v>
      </c>
      <c r="M154" s="2" t="s">
        <v>108</v>
      </c>
      <c r="N154" s="2">
        <v>16</v>
      </c>
      <c r="O154" s="2" t="s">
        <v>1391</v>
      </c>
      <c r="P154" s="2" t="s">
        <v>1380</v>
      </c>
      <c r="Q154" s="2" t="s">
        <v>1381</v>
      </c>
      <c r="R154" s="2" t="s">
        <v>1382</v>
      </c>
      <c r="S154" s="2" t="s">
        <v>1392</v>
      </c>
      <c r="T154" s="2" t="s">
        <v>2106</v>
      </c>
      <c r="U154" s="3">
        <v>44316</v>
      </c>
      <c r="V154" s="3">
        <v>45957</v>
      </c>
      <c r="W154" s="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5 años y 3 meses</v>
      </c>
    </row>
    <row r="155" spans="1:23">
      <c r="A155" s="12">
        <v>134</v>
      </c>
      <c r="B155" s="12" t="s">
        <v>2107</v>
      </c>
      <c r="C155" s="13" t="s">
        <v>11</v>
      </c>
      <c r="D155" s="13" t="s">
        <v>685</v>
      </c>
      <c r="E155" s="12" t="s">
        <v>51</v>
      </c>
      <c r="F155" s="13" t="s">
        <v>30</v>
      </c>
      <c r="G155" s="12" t="s">
        <v>2108</v>
      </c>
      <c r="H155" s="12" t="s">
        <v>64</v>
      </c>
      <c r="I155" s="12" t="s">
        <v>2109</v>
      </c>
      <c r="J155" s="12" t="s">
        <v>2110</v>
      </c>
      <c r="K155" s="12" t="s">
        <v>1377</v>
      </c>
      <c r="L155" s="12" t="s">
        <v>1389</v>
      </c>
      <c r="M155" s="12" t="s">
        <v>108</v>
      </c>
      <c r="N155" s="12">
        <v>32</v>
      </c>
      <c r="O155" s="12" t="s">
        <v>1391</v>
      </c>
      <c r="P155" s="12" t="s">
        <v>1380</v>
      </c>
      <c r="Q155" s="12" t="s">
        <v>1381</v>
      </c>
      <c r="R155" s="12" t="s">
        <v>1382</v>
      </c>
      <c r="S155" s="12" t="s">
        <v>1455</v>
      </c>
      <c r="T155" s="12" t="s">
        <v>2111</v>
      </c>
      <c r="U155" s="14">
        <v>44630</v>
      </c>
      <c r="V155" s="14">
        <v>45943</v>
      </c>
      <c r="W155" s="1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4 años y 5 meses</v>
      </c>
    </row>
    <row r="156" spans="1:23">
      <c r="A156" s="12">
        <v>157</v>
      </c>
      <c r="B156" s="12" t="s">
        <v>2112</v>
      </c>
      <c r="C156" s="13" t="s">
        <v>11</v>
      </c>
      <c r="D156" s="13" t="s">
        <v>754</v>
      </c>
      <c r="E156" s="12" t="s">
        <v>51</v>
      </c>
      <c r="F156" s="13" t="s">
        <v>27</v>
      </c>
      <c r="G156" s="12" t="s">
        <v>2113</v>
      </c>
      <c r="H156" s="12" t="s">
        <v>64</v>
      </c>
      <c r="I156" s="12" t="s">
        <v>1459</v>
      </c>
      <c r="J156" s="12" t="s">
        <v>2114</v>
      </c>
      <c r="K156" s="12" t="s">
        <v>1461</v>
      </c>
      <c r="L156" s="12" t="s">
        <v>1560</v>
      </c>
      <c r="M156" s="12" t="s">
        <v>108</v>
      </c>
      <c r="N156" s="12">
        <v>8</v>
      </c>
      <c r="O156" s="12" t="s">
        <v>1379</v>
      </c>
      <c r="P156" s="12" t="s">
        <v>1415</v>
      </c>
      <c r="Q156" s="12" t="s">
        <v>1381</v>
      </c>
      <c r="R156" s="12" t="s">
        <v>1382</v>
      </c>
      <c r="S156" s="12" t="s">
        <v>2115</v>
      </c>
      <c r="T156" s="12" t="s">
        <v>2116</v>
      </c>
      <c r="U156" s="14">
        <v>45017</v>
      </c>
      <c r="V156" s="14">
        <v>45670</v>
      </c>
      <c r="W156" s="1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3 años y 4 meses</v>
      </c>
    </row>
    <row r="157" spans="1:23">
      <c r="A157" s="12">
        <v>120</v>
      </c>
      <c r="B157" s="12" t="s">
        <v>2117</v>
      </c>
      <c r="C157" s="13" t="s">
        <v>11</v>
      </c>
      <c r="D157" s="13" t="s">
        <v>627</v>
      </c>
      <c r="E157" s="12" t="s">
        <v>51</v>
      </c>
      <c r="F157" s="13" t="s">
        <v>30</v>
      </c>
      <c r="G157" s="12" t="s">
        <v>2118</v>
      </c>
      <c r="H157" s="12" t="s">
        <v>1386</v>
      </c>
      <c r="I157" s="12" t="s">
        <v>2119</v>
      </c>
      <c r="J157" s="12" t="s">
        <v>2120</v>
      </c>
      <c r="K157" s="12" t="s">
        <v>1424</v>
      </c>
      <c r="L157" s="12" t="s">
        <v>1619</v>
      </c>
      <c r="M157" s="12" t="s">
        <v>108</v>
      </c>
      <c r="N157" s="12">
        <v>16</v>
      </c>
      <c r="O157" s="12" t="s">
        <v>1391</v>
      </c>
      <c r="P157" s="12" t="s">
        <v>1426</v>
      </c>
      <c r="Q157" s="12" t="s">
        <v>1381</v>
      </c>
      <c r="R157" s="12" t="s">
        <v>1382</v>
      </c>
      <c r="S157" s="12" t="s">
        <v>1700</v>
      </c>
      <c r="T157" s="12" t="s">
        <v>2121</v>
      </c>
      <c r="U157" s="14">
        <v>45783</v>
      </c>
      <c r="V157" s="14">
        <v>45771</v>
      </c>
      <c r="W157" s="1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3 meses</v>
      </c>
    </row>
    <row r="158" spans="1:23">
      <c r="A158" s="12">
        <v>14</v>
      </c>
      <c r="B158" s="12" t="s">
        <v>2122</v>
      </c>
      <c r="C158" s="72" t="s">
        <v>2123</v>
      </c>
      <c r="D158" s="13" t="s">
        <v>170</v>
      </c>
      <c r="E158" s="12" t="s">
        <v>51</v>
      </c>
      <c r="F158" s="13" t="s">
        <v>42</v>
      </c>
      <c r="G158" s="12" t="s">
        <v>2124</v>
      </c>
      <c r="H158" s="12" t="s">
        <v>64</v>
      </c>
      <c r="I158" s="12" t="s">
        <v>1655</v>
      </c>
      <c r="J158" s="12" t="s">
        <v>2125</v>
      </c>
      <c r="K158" s="12" t="s">
        <v>1377</v>
      </c>
      <c r="L158" s="12" t="s">
        <v>1413</v>
      </c>
      <c r="M158" s="12" t="s">
        <v>108</v>
      </c>
      <c r="N158" s="12">
        <v>32</v>
      </c>
      <c r="O158" s="12" t="s">
        <v>1379</v>
      </c>
      <c r="P158" s="12" t="s">
        <v>1380</v>
      </c>
      <c r="Q158" s="12" t="s">
        <v>1381</v>
      </c>
      <c r="R158" s="12" t="s">
        <v>1382</v>
      </c>
      <c r="S158" s="12" t="s">
        <v>1417</v>
      </c>
      <c r="T158" s="12" t="s">
        <v>2126</v>
      </c>
      <c r="U158" s="14">
        <v>45659</v>
      </c>
      <c r="V158" s="14">
        <v>45693</v>
      </c>
      <c r="W158" s="1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1 año y 7 meses</v>
      </c>
    </row>
    <row r="159" spans="1:23" ht="43.5">
      <c r="A159" s="12">
        <v>7</v>
      </c>
      <c r="B159" s="12" t="s">
        <v>2127</v>
      </c>
      <c r="C159" s="13" t="s">
        <v>11</v>
      </c>
      <c r="D159" s="13" t="s">
        <v>2128</v>
      </c>
      <c r="E159" s="12" t="s">
        <v>51</v>
      </c>
      <c r="F159" s="13" t="s">
        <v>25</v>
      </c>
      <c r="G159" s="12" t="s">
        <v>2129</v>
      </c>
      <c r="H159" s="12" t="s">
        <v>1386</v>
      </c>
      <c r="I159" s="12" t="s">
        <v>1396</v>
      </c>
      <c r="J159" s="12" t="s">
        <v>2130</v>
      </c>
      <c r="K159" s="12" t="s">
        <v>1377</v>
      </c>
      <c r="L159" s="12" t="s">
        <v>1389</v>
      </c>
      <c r="M159" s="12" t="s">
        <v>108</v>
      </c>
      <c r="N159" s="12">
        <v>16</v>
      </c>
      <c r="O159" s="12" t="s">
        <v>1379</v>
      </c>
      <c r="P159" s="12" t="s">
        <v>1380</v>
      </c>
      <c r="Q159" s="12" t="s">
        <v>1381</v>
      </c>
      <c r="R159" s="12" t="s">
        <v>1382</v>
      </c>
      <c r="S159" s="12" t="s">
        <v>1392</v>
      </c>
      <c r="T159" s="12" t="s">
        <v>2131</v>
      </c>
      <c r="U159" s="14">
        <v>44840</v>
      </c>
      <c r="V159" s="14">
        <v>44852</v>
      </c>
      <c r="W159" s="1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3 años y 10 meses</v>
      </c>
    </row>
    <row r="160" spans="1:23" s="66" customFormat="1">
      <c r="A160" s="12">
        <v>77</v>
      </c>
      <c r="B160" s="12" t="s">
        <v>2132</v>
      </c>
      <c r="C160" s="13" t="s">
        <v>11</v>
      </c>
      <c r="D160" s="13" t="s">
        <v>732</v>
      </c>
      <c r="E160" s="12" t="s">
        <v>51</v>
      </c>
      <c r="F160" s="13" t="s">
        <v>25</v>
      </c>
      <c r="G160" s="12" t="s">
        <v>2133</v>
      </c>
      <c r="H160" s="12" t="s">
        <v>1502</v>
      </c>
      <c r="I160" s="12" t="s">
        <v>2134</v>
      </c>
      <c r="J160" s="12" t="s">
        <v>2135</v>
      </c>
      <c r="K160" s="12" t="s">
        <v>1377</v>
      </c>
      <c r="L160" s="12" t="s">
        <v>1757</v>
      </c>
      <c r="M160" s="12" t="s">
        <v>108</v>
      </c>
      <c r="N160" s="12">
        <v>16</v>
      </c>
      <c r="O160" s="12" t="s">
        <v>1379</v>
      </c>
      <c r="P160" s="12" t="s">
        <v>1415</v>
      </c>
      <c r="Q160" s="12" t="s">
        <v>1381</v>
      </c>
      <c r="R160" s="12" t="s">
        <v>1416</v>
      </c>
      <c r="S160" s="12" t="s">
        <v>2136</v>
      </c>
      <c r="T160" s="12" t="s">
        <v>2137</v>
      </c>
      <c r="U160" s="14">
        <v>44261</v>
      </c>
      <c r="V160" s="14">
        <v>46037</v>
      </c>
      <c r="W160" s="1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5 años y 5 meses</v>
      </c>
    </row>
    <row r="161" spans="1:23" ht="43.5">
      <c r="A161" s="12">
        <v>25</v>
      </c>
      <c r="B161" s="12" t="s">
        <v>2138</v>
      </c>
      <c r="C161" s="72" t="s">
        <v>2139</v>
      </c>
      <c r="D161" s="13" t="s">
        <v>2140</v>
      </c>
      <c r="E161" s="12" t="s">
        <v>51</v>
      </c>
      <c r="F161" s="13" t="s">
        <v>23</v>
      </c>
      <c r="G161" s="12" t="s">
        <v>2141</v>
      </c>
      <c r="H161" s="12" t="s">
        <v>1386</v>
      </c>
      <c r="I161" s="12" t="s">
        <v>1548</v>
      </c>
      <c r="J161" s="12" t="s">
        <v>2142</v>
      </c>
      <c r="K161" s="12" t="s">
        <v>1377</v>
      </c>
      <c r="L161" s="12" t="s">
        <v>1454</v>
      </c>
      <c r="M161" s="12" t="s">
        <v>108</v>
      </c>
      <c r="N161" s="12">
        <v>32</v>
      </c>
      <c r="O161" s="12" t="s">
        <v>1391</v>
      </c>
      <c r="P161" s="12" t="s">
        <v>1426</v>
      </c>
      <c r="Q161" s="12" t="s">
        <v>1381</v>
      </c>
      <c r="R161" s="12" t="s">
        <v>1382</v>
      </c>
      <c r="S161" s="12" t="s">
        <v>2143</v>
      </c>
      <c r="T161" s="12" t="s">
        <v>2144</v>
      </c>
      <c r="U161" s="14">
        <v>45283</v>
      </c>
      <c r="V161" s="12" t="s">
        <v>108</v>
      </c>
      <c r="W161" s="1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2 años y 7 meses</v>
      </c>
    </row>
    <row r="162" spans="1:23">
      <c r="A162" s="12">
        <v>2</v>
      </c>
      <c r="B162" s="12" t="s">
        <v>108</v>
      </c>
      <c r="C162" s="13" t="s">
        <v>11</v>
      </c>
      <c r="D162" s="13" t="s">
        <v>95</v>
      </c>
      <c r="E162" s="12" t="s">
        <v>50</v>
      </c>
      <c r="F162" s="13" t="s">
        <v>24</v>
      </c>
      <c r="G162" s="12" t="s">
        <v>2145</v>
      </c>
      <c r="H162" s="12" t="s">
        <v>64</v>
      </c>
      <c r="I162" s="12" t="s">
        <v>1874</v>
      </c>
      <c r="J162" s="12" t="s">
        <v>2146</v>
      </c>
      <c r="K162" s="12" t="s">
        <v>1398</v>
      </c>
      <c r="L162" s="12">
        <v>12500</v>
      </c>
      <c r="M162" s="12" t="s">
        <v>2147</v>
      </c>
      <c r="N162" s="12">
        <v>16</v>
      </c>
      <c r="O162" s="12" t="s">
        <v>1379</v>
      </c>
      <c r="P162" s="12" t="s">
        <v>1380</v>
      </c>
      <c r="Q162" s="12" t="s">
        <v>1381</v>
      </c>
      <c r="R162" s="12" t="s">
        <v>1382</v>
      </c>
      <c r="S162" s="12" t="s">
        <v>1407</v>
      </c>
      <c r="T162" s="12" t="s">
        <v>1872</v>
      </c>
      <c r="U162" s="14" t="s">
        <v>108</v>
      </c>
      <c r="V162" s="14" t="s">
        <v>2148</v>
      </c>
      <c r="W162" s="1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-</v>
      </c>
    </row>
    <row r="163" spans="1:23">
      <c r="A163" s="12">
        <v>1</v>
      </c>
      <c r="B163" s="12" t="s">
        <v>1867</v>
      </c>
      <c r="C163" s="13" t="s">
        <v>11</v>
      </c>
      <c r="D163" s="13" t="s">
        <v>95</v>
      </c>
      <c r="E163" s="12" t="s">
        <v>51</v>
      </c>
      <c r="F163" s="13" t="s">
        <v>24</v>
      </c>
      <c r="G163" s="12" t="s">
        <v>2149</v>
      </c>
      <c r="H163" s="12" t="s">
        <v>64</v>
      </c>
      <c r="I163" s="12" t="s">
        <v>1869</v>
      </c>
      <c r="J163" s="12" t="s">
        <v>2150</v>
      </c>
      <c r="K163" s="12" t="s">
        <v>1461</v>
      </c>
      <c r="L163" s="12" t="s">
        <v>1871</v>
      </c>
      <c r="M163" s="12" t="s">
        <v>2151</v>
      </c>
      <c r="N163" s="12">
        <v>8</v>
      </c>
      <c r="O163" s="12" t="s">
        <v>1391</v>
      </c>
      <c r="P163" s="12" t="s">
        <v>1415</v>
      </c>
      <c r="Q163" s="12" t="s">
        <v>1381</v>
      </c>
      <c r="R163" s="12" t="s">
        <v>1382</v>
      </c>
      <c r="S163" s="12" t="s">
        <v>1531</v>
      </c>
      <c r="T163" s="12" t="s">
        <v>2152</v>
      </c>
      <c r="U163" s="14">
        <v>43613</v>
      </c>
      <c r="V163" s="14">
        <v>45902</v>
      </c>
      <c r="W163" s="1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7 años y 2 meses</v>
      </c>
    </row>
    <row r="164" spans="1:23">
      <c r="A164" s="12">
        <v>86</v>
      </c>
      <c r="B164" s="12" t="s">
        <v>2153</v>
      </c>
      <c r="C164" s="13" t="s">
        <v>11</v>
      </c>
      <c r="D164" s="13" t="s">
        <v>494</v>
      </c>
      <c r="E164" s="12" t="s">
        <v>51</v>
      </c>
      <c r="F164" s="13" t="s">
        <v>27</v>
      </c>
      <c r="G164" s="12" t="s">
        <v>2154</v>
      </c>
      <c r="H164" s="12" t="s">
        <v>64</v>
      </c>
      <c r="I164" s="12" t="s">
        <v>1541</v>
      </c>
      <c r="J164" s="12" t="s">
        <v>2155</v>
      </c>
      <c r="K164" s="12" t="s">
        <v>1461</v>
      </c>
      <c r="L164" s="12" t="s">
        <v>1543</v>
      </c>
      <c r="M164" s="12" t="s">
        <v>108</v>
      </c>
      <c r="N164" s="12">
        <v>8</v>
      </c>
      <c r="O164" s="12" t="s">
        <v>1379</v>
      </c>
      <c r="P164" s="12" t="s">
        <v>1415</v>
      </c>
      <c r="Q164" s="12" t="s">
        <v>1381</v>
      </c>
      <c r="R164" s="12" t="s">
        <v>1416</v>
      </c>
      <c r="S164" s="12" t="s">
        <v>1544</v>
      </c>
      <c r="T164" s="12" t="s">
        <v>2156</v>
      </c>
      <c r="U164" s="14">
        <v>44627</v>
      </c>
      <c r="V164" s="14">
        <v>45852</v>
      </c>
      <c r="W164" s="1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4 años y 5 meses</v>
      </c>
    </row>
    <row r="165" spans="1:23">
      <c r="A165" s="12">
        <v>3</v>
      </c>
      <c r="B165" s="12" t="s">
        <v>2157</v>
      </c>
      <c r="C165" s="13" t="s">
        <v>11</v>
      </c>
      <c r="D165" s="13" t="s">
        <v>1404</v>
      </c>
      <c r="E165" s="12" t="s">
        <v>51</v>
      </c>
      <c r="F165" s="13" t="s">
        <v>25</v>
      </c>
      <c r="G165" s="12" t="s">
        <v>2158</v>
      </c>
      <c r="H165" s="12" t="s">
        <v>1386</v>
      </c>
      <c r="I165" s="12" t="s">
        <v>2104</v>
      </c>
      <c r="J165" s="12" t="s">
        <v>2159</v>
      </c>
      <c r="K165" s="12" t="s">
        <v>1377</v>
      </c>
      <c r="L165" s="12" t="s">
        <v>1757</v>
      </c>
      <c r="M165" s="12" t="s">
        <v>2160</v>
      </c>
      <c r="N165" s="12">
        <v>16</v>
      </c>
      <c r="O165" s="12" t="s">
        <v>1391</v>
      </c>
      <c r="P165" s="12" t="s">
        <v>1380</v>
      </c>
      <c r="Q165" s="12" t="s">
        <v>1381</v>
      </c>
      <c r="R165" s="12" t="s">
        <v>1382</v>
      </c>
      <c r="S165" s="12" t="s">
        <v>1401</v>
      </c>
      <c r="T165" s="12" t="s">
        <v>2161</v>
      </c>
      <c r="U165" s="14">
        <v>44413</v>
      </c>
      <c r="V165" s="14">
        <v>46083</v>
      </c>
      <c r="W165" s="1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5 años y 0 meses</v>
      </c>
    </row>
    <row r="166" spans="1:23" ht="29.25">
      <c r="A166" s="12">
        <v>45</v>
      </c>
      <c r="B166" s="12" t="s">
        <v>2162</v>
      </c>
      <c r="C166" s="13" t="s">
        <v>11</v>
      </c>
      <c r="D166" s="13" t="s">
        <v>2163</v>
      </c>
      <c r="E166" s="12" t="s">
        <v>51</v>
      </c>
      <c r="F166" s="13" t="s">
        <v>39</v>
      </c>
      <c r="G166" s="12" t="s">
        <v>2103</v>
      </c>
      <c r="H166" s="12" t="s">
        <v>1386</v>
      </c>
      <c r="I166" s="12" t="s">
        <v>1725</v>
      </c>
      <c r="J166" s="12" t="s">
        <v>2164</v>
      </c>
      <c r="K166" s="12" t="s">
        <v>1377</v>
      </c>
      <c r="L166" s="12" t="s">
        <v>1389</v>
      </c>
      <c r="M166" s="12" t="s">
        <v>108</v>
      </c>
      <c r="N166" s="12">
        <v>16</v>
      </c>
      <c r="O166" s="12" t="s">
        <v>1379</v>
      </c>
      <c r="P166" s="12" t="s">
        <v>1415</v>
      </c>
      <c r="Q166" s="12" t="s">
        <v>1381</v>
      </c>
      <c r="R166" s="12" t="s">
        <v>1382</v>
      </c>
      <c r="S166" s="12" t="s">
        <v>1401</v>
      </c>
      <c r="T166" s="12" t="s">
        <v>2165</v>
      </c>
      <c r="U166" s="14">
        <v>44882</v>
      </c>
      <c r="V166" s="14">
        <v>45992</v>
      </c>
      <c r="W166" s="1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3 años y 8 meses</v>
      </c>
    </row>
    <row r="167" spans="1:23" ht="29.25">
      <c r="A167" s="12">
        <v>161</v>
      </c>
      <c r="B167" s="12" t="s">
        <v>2166</v>
      </c>
      <c r="C167" s="72" t="s">
        <v>2167</v>
      </c>
      <c r="D167" s="13" t="s">
        <v>345</v>
      </c>
      <c r="E167" s="12" t="s">
        <v>51</v>
      </c>
      <c r="F167" s="13" t="s">
        <v>27</v>
      </c>
      <c r="G167" s="12" t="s">
        <v>2168</v>
      </c>
      <c r="H167" s="12" t="s">
        <v>1386</v>
      </c>
      <c r="I167" s="12" t="s">
        <v>1878</v>
      </c>
      <c r="J167" s="12" t="s">
        <v>2169</v>
      </c>
      <c r="K167" s="12" t="s">
        <v>1398</v>
      </c>
      <c r="L167" s="12" t="s">
        <v>1525</v>
      </c>
      <c r="M167" s="12" t="s">
        <v>108</v>
      </c>
      <c r="N167" s="12">
        <v>24</v>
      </c>
      <c r="O167" s="12" t="s">
        <v>1379</v>
      </c>
      <c r="P167" s="12" t="s">
        <v>1415</v>
      </c>
      <c r="Q167" s="12" t="s">
        <v>1381</v>
      </c>
      <c r="R167" s="12" t="s">
        <v>1382</v>
      </c>
      <c r="S167" s="12" t="s">
        <v>1401</v>
      </c>
      <c r="T167" s="12" t="s">
        <v>2170</v>
      </c>
      <c r="U167" s="14">
        <v>45051</v>
      </c>
      <c r="V167" s="14">
        <v>45678</v>
      </c>
      <c r="W167" s="1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3 años y 3 meses</v>
      </c>
    </row>
    <row r="168" spans="1:23">
      <c r="A168" s="12">
        <v>163</v>
      </c>
      <c r="B168" s="12" t="s">
        <v>108</v>
      </c>
      <c r="C168" s="13" t="s">
        <v>11</v>
      </c>
      <c r="D168" s="13" t="s">
        <v>502</v>
      </c>
      <c r="E168" s="12" t="s">
        <v>50</v>
      </c>
      <c r="F168" s="13" t="s">
        <v>25</v>
      </c>
      <c r="G168" s="12" t="s">
        <v>2171</v>
      </c>
      <c r="H168" s="12" t="s">
        <v>64</v>
      </c>
      <c r="I168" s="12" t="s">
        <v>1839</v>
      </c>
      <c r="J168" s="12" t="s">
        <v>2172</v>
      </c>
      <c r="K168" s="12" t="s">
        <v>1377</v>
      </c>
      <c r="L168" s="12">
        <v>6700</v>
      </c>
      <c r="M168" s="12" t="s">
        <v>108</v>
      </c>
      <c r="N168" s="12">
        <v>16</v>
      </c>
      <c r="O168" s="12" t="s">
        <v>1379</v>
      </c>
      <c r="P168" s="12" t="s">
        <v>108</v>
      </c>
      <c r="Q168" s="12" t="s">
        <v>1381</v>
      </c>
      <c r="R168" s="12" t="s">
        <v>1382</v>
      </c>
      <c r="S168" s="12" t="s">
        <v>108</v>
      </c>
      <c r="T168" s="12" t="s">
        <v>108</v>
      </c>
      <c r="U168" s="14" t="s">
        <v>108</v>
      </c>
      <c r="V168" s="14">
        <v>45754</v>
      </c>
      <c r="W168" s="1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-</v>
      </c>
    </row>
    <row r="169" spans="1:23">
      <c r="A169" s="12">
        <v>169</v>
      </c>
      <c r="B169" s="12" t="s">
        <v>2173</v>
      </c>
      <c r="C169" s="13" t="s">
        <v>11</v>
      </c>
      <c r="D169" s="13" t="s">
        <v>2174</v>
      </c>
      <c r="E169" s="12" t="s">
        <v>51</v>
      </c>
      <c r="F169" s="13" t="s">
        <v>27</v>
      </c>
      <c r="G169" s="12" t="s">
        <v>2174</v>
      </c>
      <c r="H169" s="12" t="s">
        <v>1386</v>
      </c>
      <c r="I169" s="12" t="s">
        <v>2054</v>
      </c>
      <c r="J169" s="12" t="s">
        <v>2175</v>
      </c>
      <c r="K169" s="12" t="s">
        <v>1599</v>
      </c>
      <c r="L169" s="12" t="s">
        <v>1600</v>
      </c>
      <c r="M169" s="12" t="s">
        <v>2056</v>
      </c>
      <c r="N169" s="12">
        <v>16</v>
      </c>
      <c r="O169" s="12" t="s">
        <v>1391</v>
      </c>
      <c r="P169" s="12" t="s">
        <v>1426</v>
      </c>
      <c r="Q169" s="12" t="s">
        <v>1381</v>
      </c>
      <c r="R169" s="12" t="s">
        <v>1382</v>
      </c>
      <c r="S169" s="12" t="s">
        <v>108</v>
      </c>
      <c r="T169" s="12" t="s">
        <v>108</v>
      </c>
      <c r="U169" s="14" t="s">
        <v>1429</v>
      </c>
      <c r="V169" s="14" t="s">
        <v>108</v>
      </c>
      <c r="W169" s="12" t="str">
        <f ca="1">IF(Tabla2[[#This Row],[FECHA DE COMPRA]]="","-",IFERROR(DATEDIF(Tabla2[[#This Row],[FECHA DE COMPRA]],TODAY(),"Y")&amp; " " &amp;
    IF(DATEDIF(Tabla2[[#This Row],[FECHA DE COMPRA]],TODAY(),"Y")=1,"año","años")&amp;
    " y " &amp;
    DATEDIF(Tabla2[[#This Row],[FECHA DE COMPRA]],TODAY(),"YM")&amp; " " &amp;
    IF(DATEDIF(Tabla2[[#This Row],[FECHA DE COMPRA]],TODAY(),"YM")=1,"mes","meses"),"-"))</f>
        <v>-</v>
      </c>
    </row>
    <row r="170" spans="1:23">
      <c r="A170" s="2"/>
      <c r="B170" s="2"/>
      <c r="C170" s="5"/>
      <c r="D170" s="5"/>
      <c r="E170" s="2"/>
      <c r="F170" s="5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3"/>
      <c r="V170" s="2"/>
      <c r="W170" s="2"/>
    </row>
    <row r="171" spans="1:23">
      <c r="A171" s="2"/>
      <c r="B171" s="2"/>
      <c r="C171" s="5"/>
      <c r="D171" s="5"/>
      <c r="E171" s="2"/>
      <c r="F171" s="5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3"/>
      <c r="V171" s="2"/>
      <c r="W171" s="2"/>
    </row>
    <row r="172" spans="1:23">
      <c r="A172" s="2"/>
      <c r="B172" s="2"/>
      <c r="C172" s="5"/>
      <c r="D172" s="5"/>
      <c r="E172" s="2"/>
      <c r="F172" s="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3"/>
      <c r="V172" s="2"/>
      <c r="W172" s="2"/>
    </row>
  </sheetData>
  <phoneticPr fontId="1" type="noConversion"/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094B-AF10-4675-A793-1C54FD848FC1}">
  <dimension ref="A1:W76"/>
  <sheetViews>
    <sheetView topLeftCell="M33" workbookViewId="0">
      <selection activeCell="A77" sqref="A77"/>
    </sheetView>
  </sheetViews>
  <sheetFormatPr defaultRowHeight="15"/>
  <cols>
    <col min="1" max="1" width="5.5703125" customWidth="1"/>
    <col min="2" max="2" width="18" customWidth="1"/>
    <col min="3" max="3" width="34" bestFit="1" customWidth="1"/>
    <col min="4" max="4" width="17.7109375" customWidth="1"/>
    <col min="5" max="5" width="17.140625" customWidth="1"/>
    <col min="6" max="6" width="10.5703125" customWidth="1"/>
    <col min="7" max="7" width="15.5703125" customWidth="1"/>
    <col min="8" max="8" width="18.28515625" customWidth="1"/>
    <col min="9" max="9" width="12.85546875" customWidth="1"/>
    <col min="10" max="10" width="19.42578125" customWidth="1"/>
    <col min="11" max="11" width="19.28515625" customWidth="1"/>
    <col min="12" max="12" width="22" customWidth="1"/>
    <col min="13" max="13" width="20.7109375" customWidth="1"/>
    <col min="14" max="15" width="21.28515625" style="1" customWidth="1"/>
    <col min="16" max="16" width="15.140625" bestFit="1" customWidth="1"/>
    <col min="17" max="17" width="20.42578125" customWidth="1"/>
    <col min="19" max="19" width="12.42578125" bestFit="1" customWidth="1"/>
    <col min="20" max="20" width="17.5703125" bestFit="1" customWidth="1"/>
    <col min="21" max="21" width="35.42578125" customWidth="1"/>
    <col min="22" max="22" width="18.5703125" bestFit="1" customWidth="1"/>
    <col min="23" max="23" width="30.7109375" bestFit="1" customWidth="1"/>
  </cols>
  <sheetData>
    <row r="1" spans="1:23">
      <c r="A1" s="48" t="s">
        <v>82</v>
      </c>
      <c r="B1" s="48" t="s">
        <v>2176</v>
      </c>
      <c r="C1" s="49" t="s">
        <v>9</v>
      </c>
      <c r="D1" s="49" t="s">
        <v>1144</v>
      </c>
      <c r="E1" s="49" t="s">
        <v>87</v>
      </c>
      <c r="F1" s="50" t="s">
        <v>86</v>
      </c>
      <c r="G1" s="49" t="s">
        <v>2177</v>
      </c>
      <c r="H1" s="49" t="s">
        <v>1361</v>
      </c>
      <c r="I1" s="49" t="s">
        <v>2178</v>
      </c>
      <c r="J1" s="49" t="s">
        <v>1147</v>
      </c>
      <c r="K1" s="49" t="s">
        <v>1148</v>
      </c>
      <c r="L1" s="49" t="s">
        <v>1149</v>
      </c>
      <c r="M1" s="50" t="s">
        <v>1150</v>
      </c>
      <c r="N1" s="3" t="s">
        <v>2179</v>
      </c>
      <c r="O1" s="51" t="s">
        <v>2180</v>
      </c>
      <c r="P1" s="52" t="s">
        <v>1156</v>
      </c>
      <c r="Q1" s="2" t="s">
        <v>2181</v>
      </c>
      <c r="R1" s="2" t="s">
        <v>1366</v>
      </c>
      <c r="S1" s="2" t="s">
        <v>1368</v>
      </c>
      <c r="T1" s="48" t="s">
        <v>1369</v>
      </c>
      <c r="U1" s="48" t="s">
        <v>1370</v>
      </c>
      <c r="V1" s="48" t="s">
        <v>2182</v>
      </c>
      <c r="W1" s="50" t="s">
        <v>2183</v>
      </c>
    </row>
    <row r="2" spans="1:23">
      <c r="A2" s="53">
        <v>1</v>
      </c>
      <c r="B2" s="54" t="s">
        <v>108</v>
      </c>
      <c r="C2" s="53" t="s">
        <v>155</v>
      </c>
      <c r="D2" s="53" t="s">
        <v>14</v>
      </c>
      <c r="E2" s="55" t="s">
        <v>40</v>
      </c>
      <c r="F2" s="53" t="s">
        <v>45</v>
      </c>
      <c r="G2" s="56" t="s">
        <v>108</v>
      </c>
      <c r="H2" s="56" t="s">
        <v>108</v>
      </c>
      <c r="I2" s="53" t="s">
        <v>1160</v>
      </c>
      <c r="J2" s="53" t="s">
        <v>2184</v>
      </c>
      <c r="K2" s="57">
        <v>355468801544842</v>
      </c>
      <c r="L2" s="56" t="s">
        <v>108</v>
      </c>
      <c r="M2" s="56" t="s">
        <v>108</v>
      </c>
      <c r="N2" s="58" t="s">
        <v>108</v>
      </c>
      <c r="O2" s="58" t="s">
        <v>108</v>
      </c>
      <c r="P2" s="53" t="s">
        <v>1184</v>
      </c>
      <c r="Q2" s="59" t="s">
        <v>108</v>
      </c>
      <c r="R2" s="59" t="s">
        <v>108</v>
      </c>
      <c r="S2" s="59" t="s">
        <v>108</v>
      </c>
      <c r="T2" s="59" t="s">
        <v>108</v>
      </c>
      <c r="U2" s="59" t="s">
        <v>108</v>
      </c>
      <c r="V2" s="59" t="s">
        <v>108</v>
      </c>
      <c r="W2" s="59" t="s">
        <v>108</v>
      </c>
    </row>
    <row r="3" spans="1:23">
      <c r="A3" s="53">
        <v>2</v>
      </c>
      <c r="B3" s="54" t="s">
        <v>108</v>
      </c>
      <c r="C3" s="53" t="s">
        <v>532</v>
      </c>
      <c r="D3" s="53" t="s">
        <v>14</v>
      </c>
      <c r="E3" s="55" t="s">
        <v>37</v>
      </c>
      <c r="F3" s="53" t="s">
        <v>46</v>
      </c>
      <c r="G3" s="56" t="s">
        <v>108</v>
      </c>
      <c r="H3" s="56" t="s">
        <v>108</v>
      </c>
      <c r="I3" s="53" t="s">
        <v>1160</v>
      </c>
      <c r="J3" s="53" t="s">
        <v>1252</v>
      </c>
      <c r="K3" s="57">
        <v>351066360450122</v>
      </c>
      <c r="L3" s="56" t="s">
        <v>108</v>
      </c>
      <c r="M3" s="56" t="s">
        <v>108</v>
      </c>
      <c r="N3" s="58" t="s">
        <v>108</v>
      </c>
      <c r="O3" s="58" t="s">
        <v>108</v>
      </c>
      <c r="P3" s="53" t="s">
        <v>1166</v>
      </c>
      <c r="Q3" s="59" t="s">
        <v>108</v>
      </c>
      <c r="R3" s="59" t="s">
        <v>108</v>
      </c>
      <c r="S3" s="59" t="s">
        <v>108</v>
      </c>
      <c r="T3" s="59" t="s">
        <v>108</v>
      </c>
      <c r="U3" s="59" t="s">
        <v>108</v>
      </c>
      <c r="V3" s="59" t="s">
        <v>108</v>
      </c>
      <c r="W3" s="59" t="s">
        <v>108</v>
      </c>
    </row>
    <row r="4" spans="1:23">
      <c r="A4" s="53">
        <v>3</v>
      </c>
      <c r="B4" s="54" t="s">
        <v>108</v>
      </c>
      <c r="C4" s="53" t="s">
        <v>332</v>
      </c>
      <c r="D4" s="53" t="s">
        <v>14</v>
      </c>
      <c r="E4" s="55" t="s">
        <v>42</v>
      </c>
      <c r="F4" s="53" t="s">
        <v>47</v>
      </c>
      <c r="G4" s="56" t="s">
        <v>108</v>
      </c>
      <c r="H4" s="56" t="s">
        <v>108</v>
      </c>
      <c r="I4" s="53" t="s">
        <v>1160</v>
      </c>
      <c r="J4" s="53" t="s">
        <v>1195</v>
      </c>
      <c r="K4" s="57">
        <v>356241324870534</v>
      </c>
      <c r="L4" s="56" t="s">
        <v>108</v>
      </c>
      <c r="M4" s="56" t="s">
        <v>108</v>
      </c>
      <c r="N4" s="58" t="s">
        <v>2185</v>
      </c>
      <c r="O4" s="58" t="s">
        <v>108</v>
      </c>
      <c r="P4" s="53" t="s">
        <v>1166</v>
      </c>
      <c r="Q4" s="59" t="s">
        <v>108</v>
      </c>
      <c r="R4" s="59" t="s">
        <v>108</v>
      </c>
      <c r="S4" s="59" t="s">
        <v>108</v>
      </c>
      <c r="T4" s="59" t="s">
        <v>108</v>
      </c>
      <c r="U4" s="59" t="s">
        <v>108</v>
      </c>
      <c r="V4" s="59" t="s">
        <v>108</v>
      </c>
      <c r="W4" s="59" t="s">
        <v>108</v>
      </c>
    </row>
    <row r="5" spans="1:23">
      <c r="A5" s="53">
        <v>4</v>
      </c>
      <c r="B5" s="54" t="s">
        <v>108</v>
      </c>
      <c r="C5" s="53" t="s">
        <v>175</v>
      </c>
      <c r="D5" s="53" t="s">
        <v>14</v>
      </c>
      <c r="E5" s="55" t="s">
        <v>27</v>
      </c>
      <c r="F5" s="53" t="s">
        <v>47</v>
      </c>
      <c r="G5" s="56" t="s">
        <v>108</v>
      </c>
      <c r="H5" s="56" t="s">
        <v>108</v>
      </c>
      <c r="I5" s="53" t="s">
        <v>1160</v>
      </c>
      <c r="J5" s="53" t="s">
        <v>1252</v>
      </c>
      <c r="K5" s="57">
        <v>352971680537418</v>
      </c>
      <c r="L5" s="56" t="s">
        <v>108</v>
      </c>
      <c r="M5" s="56" t="s">
        <v>108</v>
      </c>
      <c r="N5" s="58" t="s">
        <v>108</v>
      </c>
      <c r="O5" s="58" t="s">
        <v>108</v>
      </c>
      <c r="P5" s="53" t="s">
        <v>1166</v>
      </c>
      <c r="Q5" s="59" t="s">
        <v>108</v>
      </c>
      <c r="R5" s="59" t="s">
        <v>108</v>
      </c>
      <c r="S5" s="59" t="s">
        <v>108</v>
      </c>
      <c r="T5" s="59" t="s">
        <v>108</v>
      </c>
      <c r="U5" s="59" t="s">
        <v>108</v>
      </c>
      <c r="V5" s="59" t="s">
        <v>108</v>
      </c>
      <c r="W5" s="59" t="s">
        <v>108</v>
      </c>
    </row>
    <row r="6" spans="1:23">
      <c r="A6" s="53">
        <v>5</v>
      </c>
      <c r="B6" s="54" t="s">
        <v>108</v>
      </c>
      <c r="C6" s="53" t="s">
        <v>2186</v>
      </c>
      <c r="D6" s="53" t="s">
        <v>14</v>
      </c>
      <c r="E6" s="55" t="s">
        <v>27</v>
      </c>
      <c r="F6" s="53" t="s">
        <v>47</v>
      </c>
      <c r="G6" s="56" t="s">
        <v>108</v>
      </c>
      <c r="H6" s="56" t="s">
        <v>108</v>
      </c>
      <c r="I6" s="53" t="s">
        <v>2187</v>
      </c>
      <c r="J6" s="53" t="s">
        <v>2188</v>
      </c>
      <c r="K6" s="57">
        <v>869376056458825</v>
      </c>
      <c r="L6" s="56" t="s">
        <v>108</v>
      </c>
      <c r="M6" s="56" t="s">
        <v>108</v>
      </c>
      <c r="N6" s="58" t="s">
        <v>108</v>
      </c>
      <c r="O6" s="58" t="s">
        <v>108</v>
      </c>
      <c r="P6" s="53" t="s">
        <v>1166</v>
      </c>
      <c r="Q6" s="59" t="s">
        <v>108</v>
      </c>
      <c r="R6" s="59" t="s">
        <v>108</v>
      </c>
      <c r="S6" s="59" t="s">
        <v>108</v>
      </c>
      <c r="T6" s="59" t="s">
        <v>108</v>
      </c>
      <c r="U6" s="59" t="s">
        <v>108</v>
      </c>
      <c r="V6" s="59" t="s">
        <v>108</v>
      </c>
      <c r="W6" s="59" t="s">
        <v>108</v>
      </c>
    </row>
    <row r="7" spans="1:23">
      <c r="A7" s="53">
        <v>6</v>
      </c>
      <c r="B7" s="54" t="s">
        <v>108</v>
      </c>
      <c r="C7" s="53" t="s">
        <v>541</v>
      </c>
      <c r="D7" s="53" t="s">
        <v>14</v>
      </c>
      <c r="E7" s="55" t="s">
        <v>21</v>
      </c>
      <c r="F7" s="53" t="s">
        <v>47</v>
      </c>
      <c r="G7" s="56" t="s">
        <v>108</v>
      </c>
      <c r="H7" s="56" t="s">
        <v>108</v>
      </c>
      <c r="I7" s="53" t="s">
        <v>1160</v>
      </c>
      <c r="J7" s="53" t="s">
        <v>2189</v>
      </c>
      <c r="K7" s="57">
        <v>356263315213904</v>
      </c>
      <c r="L7" s="56" t="s">
        <v>108</v>
      </c>
      <c r="M7" s="56" t="s">
        <v>108</v>
      </c>
      <c r="N7" s="58" t="s">
        <v>108</v>
      </c>
      <c r="O7" s="58" t="s">
        <v>108</v>
      </c>
      <c r="P7" s="53" t="s">
        <v>1166</v>
      </c>
      <c r="Q7" s="59" t="s">
        <v>108</v>
      </c>
      <c r="R7" s="59" t="s">
        <v>108</v>
      </c>
      <c r="S7" s="59" t="s">
        <v>108</v>
      </c>
      <c r="T7" s="59" t="s">
        <v>108</v>
      </c>
      <c r="U7" s="59" t="s">
        <v>108</v>
      </c>
      <c r="V7" s="59" t="s">
        <v>108</v>
      </c>
      <c r="W7" s="59" t="s">
        <v>108</v>
      </c>
    </row>
    <row r="8" spans="1:23">
      <c r="A8" s="53">
        <v>7</v>
      </c>
      <c r="B8" s="54" t="s">
        <v>108</v>
      </c>
      <c r="C8" s="53" t="s">
        <v>462</v>
      </c>
      <c r="D8" s="53" t="s">
        <v>14</v>
      </c>
      <c r="E8" s="55" t="s">
        <v>27</v>
      </c>
      <c r="F8" s="53" t="s">
        <v>47</v>
      </c>
      <c r="G8" s="56" t="s">
        <v>108</v>
      </c>
      <c r="H8" s="56" t="s">
        <v>108</v>
      </c>
      <c r="I8" s="53" t="s">
        <v>1160</v>
      </c>
      <c r="J8" s="53" t="s">
        <v>1195</v>
      </c>
      <c r="K8" s="57">
        <v>356241324966787</v>
      </c>
      <c r="L8" s="56" t="s">
        <v>108</v>
      </c>
      <c r="M8" s="56" t="s">
        <v>108</v>
      </c>
      <c r="N8" s="58" t="s">
        <v>2185</v>
      </c>
      <c r="O8" s="58" t="s">
        <v>108</v>
      </c>
      <c r="P8" s="53" t="s">
        <v>1166</v>
      </c>
      <c r="Q8" s="59" t="s">
        <v>108</v>
      </c>
      <c r="R8" s="59" t="s">
        <v>108</v>
      </c>
      <c r="S8" s="59" t="s">
        <v>108</v>
      </c>
      <c r="T8" s="59" t="s">
        <v>108</v>
      </c>
      <c r="U8" s="59" t="s">
        <v>108</v>
      </c>
      <c r="V8" s="59" t="s">
        <v>108</v>
      </c>
      <c r="W8" s="59" t="s">
        <v>108</v>
      </c>
    </row>
    <row r="9" spans="1:23">
      <c r="A9" s="53">
        <v>8</v>
      </c>
      <c r="B9" s="54" t="s">
        <v>108</v>
      </c>
      <c r="C9" s="53" t="s">
        <v>123</v>
      </c>
      <c r="D9" s="53" t="s">
        <v>14</v>
      </c>
      <c r="E9" s="55" t="s">
        <v>27</v>
      </c>
      <c r="F9" s="53" t="s">
        <v>45</v>
      </c>
      <c r="G9" s="56" t="s">
        <v>108</v>
      </c>
      <c r="H9" s="56" t="s">
        <v>108</v>
      </c>
      <c r="I9" s="53" t="s">
        <v>1160</v>
      </c>
      <c r="J9" s="53" t="s">
        <v>1169</v>
      </c>
      <c r="K9" s="57">
        <v>357494912714270</v>
      </c>
      <c r="L9" s="56" t="s">
        <v>108</v>
      </c>
      <c r="M9" s="56" t="s">
        <v>108</v>
      </c>
      <c r="N9" s="58">
        <v>45475</v>
      </c>
      <c r="O9" s="58" t="s">
        <v>108</v>
      </c>
      <c r="P9" s="53" t="s">
        <v>1166</v>
      </c>
      <c r="Q9" s="59" t="s">
        <v>108</v>
      </c>
      <c r="R9" s="59" t="s">
        <v>108</v>
      </c>
      <c r="S9" s="59" t="s">
        <v>108</v>
      </c>
      <c r="T9" s="59" t="s">
        <v>108</v>
      </c>
      <c r="U9" s="59" t="s">
        <v>108</v>
      </c>
      <c r="V9" s="59" t="s">
        <v>108</v>
      </c>
      <c r="W9" s="59" t="s">
        <v>108</v>
      </c>
    </row>
    <row r="10" spans="1:23">
      <c r="A10" s="53">
        <v>9</v>
      </c>
      <c r="B10" s="54" t="s">
        <v>108</v>
      </c>
      <c r="C10" s="53" t="s">
        <v>762</v>
      </c>
      <c r="D10" s="53" t="s">
        <v>14</v>
      </c>
      <c r="E10" s="55" t="s">
        <v>27</v>
      </c>
      <c r="F10" s="53" t="s">
        <v>47</v>
      </c>
      <c r="G10" s="56" t="s">
        <v>108</v>
      </c>
      <c r="H10" s="56" t="s">
        <v>108</v>
      </c>
      <c r="I10" s="53" t="s">
        <v>1160</v>
      </c>
      <c r="J10" s="53" t="s">
        <v>1179</v>
      </c>
      <c r="K10" s="57">
        <v>359104251096332</v>
      </c>
      <c r="L10" s="56" t="s">
        <v>108</v>
      </c>
      <c r="M10" s="56" t="s">
        <v>108</v>
      </c>
      <c r="N10" s="58" t="s">
        <v>108</v>
      </c>
      <c r="O10" s="58" t="s">
        <v>108</v>
      </c>
      <c r="P10" s="53" t="s">
        <v>1166</v>
      </c>
      <c r="Q10" s="59" t="s">
        <v>108</v>
      </c>
      <c r="R10" s="59" t="s">
        <v>108</v>
      </c>
      <c r="S10" s="59" t="s">
        <v>108</v>
      </c>
      <c r="T10" s="59" t="s">
        <v>108</v>
      </c>
      <c r="U10" s="59" t="s">
        <v>108</v>
      </c>
      <c r="V10" s="59" t="s">
        <v>108</v>
      </c>
      <c r="W10" s="59" t="s">
        <v>108</v>
      </c>
    </row>
    <row r="11" spans="1:23">
      <c r="A11" s="53">
        <v>10</v>
      </c>
      <c r="B11" s="54" t="s">
        <v>108</v>
      </c>
      <c r="C11" s="53" t="s">
        <v>388</v>
      </c>
      <c r="D11" s="53" t="s">
        <v>14</v>
      </c>
      <c r="E11" s="55" t="s">
        <v>40</v>
      </c>
      <c r="F11" s="53" t="s">
        <v>47</v>
      </c>
      <c r="G11" s="56" t="s">
        <v>108</v>
      </c>
      <c r="H11" s="56" t="s">
        <v>108</v>
      </c>
      <c r="I11" s="53" t="s">
        <v>1160</v>
      </c>
      <c r="J11" s="53" t="s">
        <v>1223</v>
      </c>
      <c r="K11" s="57">
        <v>356263315583231</v>
      </c>
      <c r="L11" s="56" t="s">
        <v>108</v>
      </c>
      <c r="M11" s="56" t="s">
        <v>108</v>
      </c>
      <c r="N11" s="58" t="s">
        <v>108</v>
      </c>
      <c r="O11" s="58" t="s">
        <v>108</v>
      </c>
      <c r="P11" s="53" t="s">
        <v>1166</v>
      </c>
      <c r="Q11" s="59" t="s">
        <v>108</v>
      </c>
      <c r="R11" s="59" t="s">
        <v>108</v>
      </c>
      <c r="S11" s="59" t="s">
        <v>108</v>
      </c>
      <c r="T11" s="59" t="s">
        <v>108</v>
      </c>
      <c r="U11" s="59" t="s">
        <v>108</v>
      </c>
      <c r="V11" s="59" t="s">
        <v>108</v>
      </c>
      <c r="W11" s="59" t="s">
        <v>108</v>
      </c>
    </row>
    <row r="12" spans="1:23">
      <c r="A12" s="53">
        <v>11</v>
      </c>
      <c r="B12" s="54" t="s">
        <v>108</v>
      </c>
      <c r="C12" s="53" t="s">
        <v>268</v>
      </c>
      <c r="D12" s="53" t="s">
        <v>14</v>
      </c>
      <c r="E12" s="55" t="s">
        <v>27</v>
      </c>
      <c r="F12" s="53" t="s">
        <v>47</v>
      </c>
      <c r="G12" s="56" t="s">
        <v>108</v>
      </c>
      <c r="H12" s="56" t="s">
        <v>108</v>
      </c>
      <c r="I12" s="53" t="s">
        <v>1160</v>
      </c>
      <c r="J12" s="53" t="s">
        <v>1195</v>
      </c>
      <c r="K12" s="57">
        <v>356241324875251</v>
      </c>
      <c r="L12" s="56" t="s">
        <v>108</v>
      </c>
      <c r="M12" s="56" t="s">
        <v>108</v>
      </c>
      <c r="N12" s="58" t="s">
        <v>2185</v>
      </c>
      <c r="O12" s="58" t="s">
        <v>108</v>
      </c>
      <c r="P12" s="53" t="s">
        <v>1166</v>
      </c>
      <c r="Q12" s="59" t="s">
        <v>108</v>
      </c>
      <c r="R12" s="59" t="s">
        <v>108</v>
      </c>
      <c r="S12" s="59" t="s">
        <v>108</v>
      </c>
      <c r="T12" s="59" t="s">
        <v>108</v>
      </c>
      <c r="U12" s="59" t="s">
        <v>108</v>
      </c>
      <c r="V12" s="59" t="s">
        <v>108</v>
      </c>
      <c r="W12" s="59" t="s">
        <v>108</v>
      </c>
    </row>
    <row r="13" spans="1:23">
      <c r="A13" s="53">
        <v>12</v>
      </c>
      <c r="B13" s="54" t="s">
        <v>108</v>
      </c>
      <c r="C13" s="53" t="s">
        <v>1339</v>
      </c>
      <c r="D13" s="53" t="s">
        <v>14</v>
      </c>
      <c r="E13" s="55" t="s">
        <v>24</v>
      </c>
      <c r="F13" s="53" t="s">
        <v>47</v>
      </c>
      <c r="G13" s="56" t="s">
        <v>108</v>
      </c>
      <c r="H13" s="56" t="s">
        <v>108</v>
      </c>
      <c r="I13" s="53" t="s">
        <v>1160</v>
      </c>
      <c r="J13" s="53" t="s">
        <v>1179</v>
      </c>
      <c r="K13" s="57">
        <v>351456830436134</v>
      </c>
      <c r="L13" s="56" t="s">
        <v>108</v>
      </c>
      <c r="M13" s="56" t="s">
        <v>108</v>
      </c>
      <c r="N13" s="58" t="s">
        <v>108</v>
      </c>
      <c r="O13" s="58" t="s">
        <v>108</v>
      </c>
      <c r="P13" s="53" t="s">
        <v>1166</v>
      </c>
      <c r="Q13" s="59" t="s">
        <v>108</v>
      </c>
      <c r="R13" s="59" t="s">
        <v>108</v>
      </c>
      <c r="S13" s="59" t="s">
        <v>108</v>
      </c>
      <c r="T13" s="59" t="s">
        <v>108</v>
      </c>
      <c r="U13" s="59" t="s">
        <v>108</v>
      </c>
      <c r="V13" s="59" t="s">
        <v>108</v>
      </c>
      <c r="W13" s="59" t="s">
        <v>108</v>
      </c>
    </row>
    <row r="14" spans="1:23">
      <c r="A14" s="53">
        <v>13</v>
      </c>
      <c r="B14" s="54" t="s">
        <v>108</v>
      </c>
      <c r="C14" s="53" t="s">
        <v>426</v>
      </c>
      <c r="D14" s="53" t="s">
        <v>14</v>
      </c>
      <c r="E14" s="55" t="s">
        <v>27</v>
      </c>
      <c r="F14" s="53" t="s">
        <v>47</v>
      </c>
      <c r="G14" s="56" t="s">
        <v>108</v>
      </c>
      <c r="H14" s="56" t="s">
        <v>108</v>
      </c>
      <c r="I14" s="53" t="s">
        <v>1160</v>
      </c>
      <c r="J14" s="53" t="s">
        <v>1161</v>
      </c>
      <c r="K14" s="57">
        <v>358785932278322</v>
      </c>
      <c r="L14" s="56" t="s">
        <v>108</v>
      </c>
      <c r="M14" s="56" t="s">
        <v>108</v>
      </c>
      <c r="N14" s="58" t="s">
        <v>108</v>
      </c>
      <c r="O14" s="58" t="s">
        <v>108</v>
      </c>
      <c r="P14" s="53" t="s">
        <v>1166</v>
      </c>
      <c r="Q14" s="59" t="s">
        <v>108</v>
      </c>
      <c r="R14" s="59" t="s">
        <v>108</v>
      </c>
      <c r="S14" s="59" t="s">
        <v>108</v>
      </c>
      <c r="T14" s="59" t="s">
        <v>108</v>
      </c>
      <c r="U14" s="59" t="s">
        <v>108</v>
      </c>
      <c r="V14" s="59" t="s">
        <v>108</v>
      </c>
      <c r="W14" s="59" t="s">
        <v>108</v>
      </c>
    </row>
    <row r="15" spans="1:23">
      <c r="A15" s="53">
        <v>14</v>
      </c>
      <c r="B15" s="54" t="s">
        <v>108</v>
      </c>
      <c r="C15" s="53" t="s">
        <v>426</v>
      </c>
      <c r="D15" s="53" t="s">
        <v>14</v>
      </c>
      <c r="E15" s="55" t="s">
        <v>27</v>
      </c>
      <c r="F15" s="53" t="s">
        <v>47</v>
      </c>
      <c r="G15" s="56" t="s">
        <v>108</v>
      </c>
      <c r="H15" s="56" t="s">
        <v>108</v>
      </c>
      <c r="I15" s="53" t="s">
        <v>1160</v>
      </c>
      <c r="J15" s="53" t="s">
        <v>1223</v>
      </c>
      <c r="K15" s="57">
        <v>352396400124943</v>
      </c>
      <c r="L15" s="56" t="s">
        <v>108</v>
      </c>
      <c r="M15" s="56" t="s">
        <v>108</v>
      </c>
      <c r="N15" s="58" t="s">
        <v>108</v>
      </c>
      <c r="O15" s="58" t="s">
        <v>108</v>
      </c>
      <c r="P15" s="53" t="s">
        <v>1166</v>
      </c>
      <c r="Q15" s="59" t="s">
        <v>108</v>
      </c>
      <c r="R15" s="59" t="s">
        <v>108</v>
      </c>
      <c r="S15" s="59" t="s">
        <v>108</v>
      </c>
      <c r="T15" s="59" t="s">
        <v>108</v>
      </c>
      <c r="U15" s="59" t="s">
        <v>108</v>
      </c>
      <c r="V15" s="59" t="s">
        <v>108</v>
      </c>
      <c r="W15" s="59" t="s">
        <v>108</v>
      </c>
    </row>
    <row r="16" spans="1:23">
      <c r="A16" s="53">
        <v>15</v>
      </c>
      <c r="B16" s="54" t="s">
        <v>108</v>
      </c>
      <c r="C16" s="53" t="s">
        <v>152</v>
      </c>
      <c r="D16" s="53" t="s">
        <v>14</v>
      </c>
      <c r="E16" s="55" t="s">
        <v>22</v>
      </c>
      <c r="F16" s="53" t="s">
        <v>45</v>
      </c>
      <c r="G16" s="56" t="s">
        <v>108</v>
      </c>
      <c r="H16" s="56" t="s">
        <v>108</v>
      </c>
      <c r="I16" s="53" t="s">
        <v>1160</v>
      </c>
      <c r="J16" s="53" t="s">
        <v>1191</v>
      </c>
      <c r="K16" s="57">
        <v>357269400224606</v>
      </c>
      <c r="L16" s="56" t="s">
        <v>108</v>
      </c>
      <c r="M16" s="56" t="s">
        <v>108</v>
      </c>
      <c r="N16" s="58">
        <v>45788</v>
      </c>
      <c r="O16" s="58" t="s">
        <v>108</v>
      </c>
      <c r="P16" s="53" t="s">
        <v>1166</v>
      </c>
      <c r="Q16" s="59" t="s">
        <v>108</v>
      </c>
      <c r="R16" s="59" t="s">
        <v>108</v>
      </c>
      <c r="S16" s="59" t="s">
        <v>108</v>
      </c>
      <c r="T16" s="59" t="s">
        <v>108</v>
      </c>
      <c r="U16" s="59" t="s">
        <v>108</v>
      </c>
      <c r="V16" s="59" t="s">
        <v>108</v>
      </c>
      <c r="W16" s="59" t="s">
        <v>108</v>
      </c>
    </row>
    <row r="17" spans="1:23">
      <c r="A17" s="53">
        <v>16</v>
      </c>
      <c r="B17" s="54" t="s">
        <v>108</v>
      </c>
      <c r="C17" s="53" t="s">
        <v>458</v>
      </c>
      <c r="D17" s="53" t="s">
        <v>14</v>
      </c>
      <c r="E17" s="55" t="s">
        <v>22</v>
      </c>
      <c r="F17" s="53" t="s">
        <v>47</v>
      </c>
      <c r="G17" s="56">
        <v>913733596</v>
      </c>
      <c r="H17" s="56" t="s">
        <v>108</v>
      </c>
      <c r="I17" s="53" t="s">
        <v>1160</v>
      </c>
      <c r="J17" s="53" t="s">
        <v>1223</v>
      </c>
      <c r="K17" s="57">
        <v>356263314965835</v>
      </c>
      <c r="L17" s="56" t="s">
        <v>2190</v>
      </c>
      <c r="M17" s="56" t="s">
        <v>108</v>
      </c>
      <c r="N17" s="58">
        <v>45759</v>
      </c>
      <c r="O17" s="58" t="s">
        <v>108</v>
      </c>
      <c r="P17" s="53" t="s">
        <v>1166</v>
      </c>
      <c r="Q17" s="59" t="s">
        <v>108</v>
      </c>
      <c r="R17" s="59" t="s">
        <v>108</v>
      </c>
      <c r="S17" s="59" t="s">
        <v>108</v>
      </c>
      <c r="T17" s="59" t="s">
        <v>108</v>
      </c>
      <c r="U17" s="59" t="s">
        <v>108</v>
      </c>
      <c r="V17" s="59" t="s">
        <v>108</v>
      </c>
      <c r="W17" s="59" t="s">
        <v>108</v>
      </c>
    </row>
    <row r="18" spans="1:23">
      <c r="A18" s="53">
        <v>17</v>
      </c>
      <c r="B18" s="54" t="s">
        <v>108</v>
      </c>
      <c r="C18" s="53" t="s">
        <v>454</v>
      </c>
      <c r="D18" s="53" t="s">
        <v>14</v>
      </c>
      <c r="E18" s="55" t="s">
        <v>27</v>
      </c>
      <c r="F18" s="53" t="s">
        <v>47</v>
      </c>
      <c r="G18" s="56">
        <v>934949476</v>
      </c>
      <c r="H18" s="56" t="s">
        <v>108</v>
      </c>
      <c r="I18" s="53" t="s">
        <v>1160</v>
      </c>
      <c r="J18" s="53" t="s">
        <v>1179</v>
      </c>
      <c r="K18" s="57">
        <v>351456831099220</v>
      </c>
      <c r="L18" s="56" t="s">
        <v>2191</v>
      </c>
      <c r="M18" s="56" t="s">
        <v>108</v>
      </c>
      <c r="N18" s="58" t="s">
        <v>2192</v>
      </c>
      <c r="O18" s="58">
        <v>45452</v>
      </c>
      <c r="P18" s="53" t="s">
        <v>1166</v>
      </c>
      <c r="Q18" s="59" t="s">
        <v>108</v>
      </c>
      <c r="R18" s="59" t="s">
        <v>108</v>
      </c>
      <c r="S18" s="59" t="s">
        <v>108</v>
      </c>
      <c r="T18" s="59" t="s">
        <v>108</v>
      </c>
      <c r="U18" s="59" t="s">
        <v>108</v>
      </c>
      <c r="V18" s="59" t="s">
        <v>108</v>
      </c>
      <c r="W18" s="59" t="s">
        <v>108</v>
      </c>
    </row>
    <row r="19" spans="1:23">
      <c r="A19" s="53">
        <v>18</v>
      </c>
      <c r="B19" s="54" t="s">
        <v>108</v>
      </c>
      <c r="C19" s="53" t="s">
        <v>697</v>
      </c>
      <c r="D19" s="53" t="s">
        <v>14</v>
      </c>
      <c r="E19" s="55" t="s">
        <v>27</v>
      </c>
      <c r="F19" s="53" t="s">
        <v>44</v>
      </c>
      <c r="G19" s="56">
        <v>905433784</v>
      </c>
      <c r="H19" s="56" t="s">
        <v>108</v>
      </c>
      <c r="I19" s="53" t="s">
        <v>1160</v>
      </c>
      <c r="J19" s="53" t="s">
        <v>1195</v>
      </c>
      <c r="K19" s="57">
        <v>356241328926266</v>
      </c>
      <c r="L19" s="56" t="s">
        <v>1245</v>
      </c>
      <c r="M19" s="56" t="s">
        <v>108</v>
      </c>
      <c r="N19" s="58">
        <v>45566</v>
      </c>
      <c r="O19" s="58" t="s">
        <v>2193</v>
      </c>
      <c r="P19" s="53" t="s">
        <v>1166</v>
      </c>
      <c r="Q19" s="59" t="s">
        <v>108</v>
      </c>
      <c r="R19" s="59" t="s">
        <v>108</v>
      </c>
      <c r="S19" s="59" t="s">
        <v>108</v>
      </c>
      <c r="T19" s="59" t="s">
        <v>108</v>
      </c>
      <c r="U19" s="59" t="s">
        <v>108</v>
      </c>
      <c r="V19" s="59" t="s">
        <v>108</v>
      </c>
      <c r="W19" s="59" t="s">
        <v>108</v>
      </c>
    </row>
    <row r="20" spans="1:23">
      <c r="A20" s="53">
        <v>19</v>
      </c>
      <c r="B20" s="54" t="s">
        <v>108</v>
      </c>
      <c r="C20" s="53" t="s">
        <v>569</v>
      </c>
      <c r="D20" s="53" t="s">
        <v>14</v>
      </c>
      <c r="E20" s="55" t="s">
        <v>37</v>
      </c>
      <c r="F20" s="53" t="s">
        <v>44</v>
      </c>
      <c r="G20" s="56">
        <v>933659350</v>
      </c>
      <c r="H20" s="56" t="s">
        <v>108</v>
      </c>
      <c r="I20" s="53" t="s">
        <v>1160</v>
      </c>
      <c r="J20" s="53" t="s">
        <v>1161</v>
      </c>
      <c r="K20" s="57">
        <v>358785932275245</v>
      </c>
      <c r="L20" s="56" t="s">
        <v>108</v>
      </c>
      <c r="M20" s="56" t="s">
        <v>108</v>
      </c>
      <c r="N20" s="58" t="s">
        <v>108</v>
      </c>
      <c r="O20" s="58">
        <v>45940</v>
      </c>
      <c r="P20" s="53" t="s">
        <v>1166</v>
      </c>
      <c r="Q20" s="59" t="s">
        <v>108</v>
      </c>
      <c r="R20" s="59" t="s">
        <v>108</v>
      </c>
      <c r="S20" s="59" t="s">
        <v>108</v>
      </c>
      <c r="T20" s="59" t="s">
        <v>108</v>
      </c>
      <c r="U20" s="59" t="s">
        <v>108</v>
      </c>
      <c r="V20" s="59" t="s">
        <v>108</v>
      </c>
      <c r="W20" s="59" t="s">
        <v>108</v>
      </c>
    </row>
    <row r="21" spans="1:23">
      <c r="A21" s="53">
        <v>20</v>
      </c>
      <c r="B21" s="54" t="s">
        <v>108</v>
      </c>
      <c r="C21" s="53" t="s">
        <v>541</v>
      </c>
      <c r="D21" s="53" t="s">
        <v>14</v>
      </c>
      <c r="E21" s="55" t="s">
        <v>29</v>
      </c>
      <c r="F21" s="53" t="s">
        <v>44</v>
      </c>
      <c r="G21" s="56" t="s">
        <v>108</v>
      </c>
      <c r="H21" s="56" t="s">
        <v>108</v>
      </c>
      <c r="I21" s="53" t="s">
        <v>1160</v>
      </c>
      <c r="J21" s="53" t="s">
        <v>1161</v>
      </c>
      <c r="K21" s="57">
        <v>358785932316650</v>
      </c>
      <c r="L21" s="56" t="s">
        <v>2194</v>
      </c>
      <c r="M21" s="56" t="s">
        <v>1163</v>
      </c>
      <c r="N21" s="58" t="s">
        <v>108</v>
      </c>
      <c r="O21" s="58">
        <v>45933</v>
      </c>
      <c r="P21" s="53" t="s">
        <v>1166</v>
      </c>
      <c r="Q21" s="59" t="s">
        <v>108</v>
      </c>
      <c r="R21" s="59" t="s">
        <v>108</v>
      </c>
      <c r="S21" s="59" t="s">
        <v>108</v>
      </c>
      <c r="T21" s="59" t="s">
        <v>108</v>
      </c>
      <c r="U21" s="59" t="s">
        <v>108</v>
      </c>
      <c r="V21" s="59" t="s">
        <v>108</v>
      </c>
      <c r="W21" s="59" t="s">
        <v>108</v>
      </c>
    </row>
    <row r="22" spans="1:23">
      <c r="A22" s="53">
        <v>21</v>
      </c>
      <c r="B22" s="54" t="s">
        <v>108</v>
      </c>
      <c r="C22" s="53" t="s">
        <v>1355</v>
      </c>
      <c r="D22" s="53" t="s">
        <v>14</v>
      </c>
      <c r="E22" s="55" t="s">
        <v>27</v>
      </c>
      <c r="F22" s="53" t="s">
        <v>44</v>
      </c>
      <c r="G22" s="56" t="s">
        <v>108</v>
      </c>
      <c r="H22" s="56" t="s">
        <v>108</v>
      </c>
      <c r="I22" s="53" t="s">
        <v>1160</v>
      </c>
      <c r="J22" s="53" t="s">
        <v>1161</v>
      </c>
      <c r="K22" s="57">
        <v>358785932276318</v>
      </c>
      <c r="L22" s="56" t="s">
        <v>2195</v>
      </c>
      <c r="M22" s="56" t="s">
        <v>1163</v>
      </c>
      <c r="N22" s="58" t="s">
        <v>108</v>
      </c>
      <c r="O22" s="58" t="s">
        <v>2196</v>
      </c>
      <c r="P22" s="53" t="s">
        <v>1166</v>
      </c>
      <c r="Q22" s="59" t="s">
        <v>108</v>
      </c>
      <c r="R22" s="59" t="s">
        <v>108</v>
      </c>
      <c r="S22" s="59" t="s">
        <v>108</v>
      </c>
      <c r="T22" s="59" t="s">
        <v>108</v>
      </c>
      <c r="U22" s="59" t="s">
        <v>108</v>
      </c>
      <c r="V22" s="59" t="s">
        <v>108</v>
      </c>
      <c r="W22" s="59" t="s">
        <v>108</v>
      </c>
    </row>
    <row r="23" spans="1:23">
      <c r="A23" s="53">
        <v>22</v>
      </c>
      <c r="B23" s="54" t="s">
        <v>108</v>
      </c>
      <c r="C23" s="53" t="s">
        <v>454</v>
      </c>
      <c r="D23" s="53" t="s">
        <v>14</v>
      </c>
      <c r="E23" s="55" t="s">
        <v>27</v>
      </c>
      <c r="F23" s="53" t="s">
        <v>44</v>
      </c>
      <c r="G23" s="56">
        <v>934949476</v>
      </c>
      <c r="H23" s="56" t="s">
        <v>108</v>
      </c>
      <c r="I23" s="53" t="s">
        <v>1160</v>
      </c>
      <c r="J23" s="53" t="s">
        <v>1161</v>
      </c>
      <c r="K23" s="57">
        <v>358785932294063</v>
      </c>
      <c r="L23" s="56" t="s">
        <v>2197</v>
      </c>
      <c r="M23" s="56" t="s">
        <v>108</v>
      </c>
      <c r="N23" s="58" t="s">
        <v>108</v>
      </c>
      <c r="O23" s="58">
        <v>44203</v>
      </c>
      <c r="P23" s="53" t="s">
        <v>1166</v>
      </c>
      <c r="Q23" s="59" t="s">
        <v>108</v>
      </c>
      <c r="R23" s="59" t="s">
        <v>108</v>
      </c>
      <c r="S23" s="59" t="s">
        <v>108</v>
      </c>
      <c r="T23" s="59" t="s">
        <v>108</v>
      </c>
      <c r="U23" s="59" t="s">
        <v>108</v>
      </c>
      <c r="V23" s="59" t="s">
        <v>108</v>
      </c>
      <c r="W23" s="59" t="s">
        <v>108</v>
      </c>
    </row>
    <row r="24" spans="1:23">
      <c r="A24" s="53">
        <v>23</v>
      </c>
      <c r="B24" s="54" t="s">
        <v>108</v>
      </c>
      <c r="C24" s="53" t="s">
        <v>569</v>
      </c>
      <c r="D24" s="53" t="s">
        <v>14</v>
      </c>
      <c r="E24" s="55" t="s">
        <v>37</v>
      </c>
      <c r="F24" s="53" t="s">
        <v>44</v>
      </c>
      <c r="G24" s="56">
        <v>933659350</v>
      </c>
      <c r="H24" s="56" t="s">
        <v>108</v>
      </c>
      <c r="I24" s="53" t="s">
        <v>1160</v>
      </c>
      <c r="J24" s="53" t="s">
        <v>1210</v>
      </c>
      <c r="K24" s="57">
        <v>350640425775409</v>
      </c>
      <c r="L24" s="56" t="s">
        <v>2198</v>
      </c>
      <c r="M24" s="56" t="s">
        <v>108</v>
      </c>
      <c r="N24" s="58" t="s">
        <v>108</v>
      </c>
      <c r="O24" s="58" t="s">
        <v>2196</v>
      </c>
      <c r="P24" s="53" t="s">
        <v>1166</v>
      </c>
      <c r="Q24" s="59" t="s">
        <v>108</v>
      </c>
      <c r="R24" s="59" t="s">
        <v>108</v>
      </c>
      <c r="S24" s="59" t="s">
        <v>108</v>
      </c>
      <c r="T24" s="59" t="s">
        <v>108</v>
      </c>
      <c r="U24" s="59" t="s">
        <v>108</v>
      </c>
      <c r="V24" s="59" t="s">
        <v>108</v>
      </c>
      <c r="W24" s="59" t="s">
        <v>108</v>
      </c>
    </row>
    <row r="25" spans="1:23">
      <c r="A25" s="53">
        <v>24</v>
      </c>
      <c r="B25" s="54" t="s">
        <v>108</v>
      </c>
      <c r="C25" s="53" t="s">
        <v>361</v>
      </c>
      <c r="D25" s="53" t="s">
        <v>14</v>
      </c>
      <c r="E25" s="55" t="s">
        <v>27</v>
      </c>
      <c r="F25" s="53" t="s">
        <v>44</v>
      </c>
      <c r="G25" s="56">
        <v>960658466</v>
      </c>
      <c r="H25" s="56" t="s">
        <v>108</v>
      </c>
      <c r="I25" s="53" t="s">
        <v>1160</v>
      </c>
      <c r="J25" s="53" t="s">
        <v>1252</v>
      </c>
      <c r="K25" s="57">
        <v>351066360498246</v>
      </c>
      <c r="L25" s="56" t="s">
        <v>2199</v>
      </c>
      <c r="M25" s="56" t="s">
        <v>108</v>
      </c>
      <c r="N25" s="58" t="s">
        <v>2200</v>
      </c>
      <c r="O25" s="58" t="s">
        <v>2201</v>
      </c>
      <c r="P25" s="53" t="s">
        <v>1166</v>
      </c>
      <c r="Q25" s="59" t="s">
        <v>108</v>
      </c>
      <c r="R25" s="59" t="s">
        <v>108</v>
      </c>
      <c r="S25" s="59" t="s">
        <v>108</v>
      </c>
      <c r="T25" s="59" t="s">
        <v>108</v>
      </c>
      <c r="U25" s="59" t="s">
        <v>108</v>
      </c>
      <c r="V25" s="59" t="s">
        <v>108</v>
      </c>
      <c r="W25" s="59" t="s">
        <v>108</v>
      </c>
    </row>
    <row r="26" spans="1:23">
      <c r="A26" s="53">
        <v>25</v>
      </c>
      <c r="B26" s="54" t="s">
        <v>108</v>
      </c>
      <c r="C26" s="53" t="s">
        <v>258</v>
      </c>
      <c r="D26" s="53" t="s">
        <v>14</v>
      </c>
      <c r="E26" s="55" t="s">
        <v>42</v>
      </c>
      <c r="F26" s="53" t="s">
        <v>44</v>
      </c>
      <c r="G26" s="56" t="s">
        <v>108</v>
      </c>
      <c r="H26" s="56" t="s">
        <v>108</v>
      </c>
      <c r="I26" s="53" t="s">
        <v>1181</v>
      </c>
      <c r="J26" s="53" t="s">
        <v>2202</v>
      </c>
      <c r="K26" s="57">
        <v>359494088479672</v>
      </c>
      <c r="L26" s="56" t="s">
        <v>108</v>
      </c>
      <c r="M26" s="56" t="s">
        <v>108</v>
      </c>
      <c r="N26" s="58" t="s">
        <v>108</v>
      </c>
      <c r="O26" s="58">
        <v>44138</v>
      </c>
      <c r="P26" s="53" t="s">
        <v>1166</v>
      </c>
      <c r="Q26" s="59" t="s">
        <v>108</v>
      </c>
      <c r="R26" s="59" t="s">
        <v>108</v>
      </c>
      <c r="S26" s="59" t="s">
        <v>108</v>
      </c>
      <c r="T26" s="59" t="s">
        <v>108</v>
      </c>
      <c r="U26" s="59" t="s">
        <v>108</v>
      </c>
      <c r="V26" s="59" t="s">
        <v>108</v>
      </c>
      <c r="W26" s="59" t="s">
        <v>108</v>
      </c>
    </row>
    <row r="27" spans="1:23">
      <c r="A27" s="53">
        <v>26</v>
      </c>
      <c r="B27" s="54" t="s">
        <v>108</v>
      </c>
      <c r="C27" s="53" t="s">
        <v>341</v>
      </c>
      <c r="D27" s="53" t="s">
        <v>14</v>
      </c>
      <c r="E27" s="55" t="s">
        <v>27</v>
      </c>
      <c r="F27" s="53" t="s">
        <v>44</v>
      </c>
      <c r="G27" s="56" t="s">
        <v>108</v>
      </c>
      <c r="H27" s="56" t="s">
        <v>108</v>
      </c>
      <c r="I27" s="53" t="s">
        <v>1160</v>
      </c>
      <c r="J27" s="53" t="s">
        <v>1195</v>
      </c>
      <c r="K27" s="57">
        <v>356241324983253</v>
      </c>
      <c r="L27" s="56" t="s">
        <v>2203</v>
      </c>
      <c r="M27" s="56" t="s">
        <v>108</v>
      </c>
      <c r="N27" s="58">
        <v>45566</v>
      </c>
      <c r="O27" s="58" t="s">
        <v>2204</v>
      </c>
      <c r="P27" s="53" t="s">
        <v>1166</v>
      </c>
      <c r="Q27" s="59" t="s">
        <v>108</v>
      </c>
      <c r="R27" s="59" t="s">
        <v>108</v>
      </c>
      <c r="S27" s="59" t="s">
        <v>108</v>
      </c>
      <c r="T27" s="59" t="s">
        <v>108</v>
      </c>
      <c r="U27" s="59" t="s">
        <v>108</v>
      </c>
      <c r="V27" s="59" t="s">
        <v>108</v>
      </c>
      <c r="W27" s="59" t="s">
        <v>108</v>
      </c>
    </row>
    <row r="28" spans="1:23">
      <c r="A28" s="53">
        <v>27</v>
      </c>
      <c r="B28" s="54" t="s">
        <v>108</v>
      </c>
      <c r="C28" s="53" t="s">
        <v>701</v>
      </c>
      <c r="D28" s="53" t="s">
        <v>14</v>
      </c>
      <c r="E28" s="55" t="s">
        <v>22</v>
      </c>
      <c r="F28" s="53" t="s">
        <v>46</v>
      </c>
      <c r="G28" s="56">
        <v>981585173</v>
      </c>
      <c r="H28" s="56" t="s">
        <v>108</v>
      </c>
      <c r="I28" s="53" t="s">
        <v>1160</v>
      </c>
      <c r="J28" s="53" t="s">
        <v>1210</v>
      </c>
      <c r="K28" s="57">
        <v>358055380576365</v>
      </c>
      <c r="L28" s="56" t="s">
        <v>2205</v>
      </c>
      <c r="M28" s="56" t="s">
        <v>108</v>
      </c>
      <c r="N28" s="58">
        <v>45301</v>
      </c>
      <c r="O28" s="58">
        <v>45943</v>
      </c>
      <c r="P28" s="53" t="s">
        <v>1166</v>
      </c>
      <c r="Q28" s="59" t="s">
        <v>108</v>
      </c>
      <c r="R28" s="59" t="s">
        <v>108</v>
      </c>
      <c r="S28" s="59" t="s">
        <v>108</v>
      </c>
      <c r="T28" s="59" t="s">
        <v>108</v>
      </c>
      <c r="U28" s="59" t="s">
        <v>108</v>
      </c>
      <c r="V28" s="59" t="s">
        <v>108</v>
      </c>
      <c r="W28" s="59" t="s">
        <v>108</v>
      </c>
    </row>
    <row r="29" spans="1:23">
      <c r="A29" s="53">
        <v>28</v>
      </c>
      <c r="B29" s="54" t="s">
        <v>108</v>
      </c>
      <c r="C29" s="53" t="s">
        <v>697</v>
      </c>
      <c r="D29" s="53" t="s">
        <v>14</v>
      </c>
      <c r="E29" s="55" t="s">
        <v>27</v>
      </c>
      <c r="F29" s="53" t="s">
        <v>44</v>
      </c>
      <c r="G29" s="56">
        <v>905433784</v>
      </c>
      <c r="H29" s="56" t="s">
        <v>108</v>
      </c>
      <c r="I29" s="53" t="s">
        <v>1160</v>
      </c>
      <c r="J29" s="53" t="s">
        <v>1223</v>
      </c>
      <c r="K29" s="57">
        <v>352396400752040</v>
      </c>
      <c r="L29" s="56" t="s">
        <v>2206</v>
      </c>
      <c r="M29" s="56" t="s">
        <v>1163</v>
      </c>
      <c r="N29" s="58">
        <v>45911</v>
      </c>
      <c r="O29" s="58">
        <v>45971</v>
      </c>
      <c r="P29" s="53" t="s">
        <v>1166</v>
      </c>
      <c r="Q29" s="59" t="s">
        <v>108</v>
      </c>
      <c r="R29" s="59" t="s">
        <v>108</v>
      </c>
      <c r="S29" s="59" t="s">
        <v>108</v>
      </c>
      <c r="T29" s="59" t="s">
        <v>108</v>
      </c>
      <c r="U29" s="59" t="s">
        <v>108</v>
      </c>
      <c r="V29" s="59" t="s">
        <v>108</v>
      </c>
      <c r="W29" s="59" t="s">
        <v>108</v>
      </c>
    </row>
    <row r="30" spans="1:23">
      <c r="A30" s="53">
        <v>29</v>
      </c>
      <c r="B30" s="54" t="s">
        <v>108</v>
      </c>
      <c r="C30" s="53" t="s">
        <v>557</v>
      </c>
      <c r="D30" s="53" t="s">
        <v>14</v>
      </c>
      <c r="E30" s="55" t="s">
        <v>27</v>
      </c>
      <c r="F30" s="53" t="s">
        <v>44</v>
      </c>
      <c r="G30" s="56">
        <v>965258487</v>
      </c>
      <c r="H30" s="56" t="s">
        <v>108</v>
      </c>
      <c r="I30" s="53" t="s">
        <v>1160</v>
      </c>
      <c r="J30" s="53" t="s">
        <v>1161</v>
      </c>
      <c r="K30" s="57">
        <v>358785932275641</v>
      </c>
      <c r="L30" s="56" t="s">
        <v>2207</v>
      </c>
      <c r="M30" s="56" t="s">
        <v>108</v>
      </c>
      <c r="N30" s="58">
        <v>45338</v>
      </c>
      <c r="O30" s="58">
        <v>45750</v>
      </c>
      <c r="P30" s="53" t="s">
        <v>1166</v>
      </c>
      <c r="Q30" s="59" t="s">
        <v>108</v>
      </c>
      <c r="R30" s="59" t="s">
        <v>108</v>
      </c>
      <c r="S30" s="59" t="s">
        <v>108</v>
      </c>
      <c r="T30" s="59" t="s">
        <v>108</v>
      </c>
      <c r="U30" s="59" t="s">
        <v>108</v>
      </c>
      <c r="V30" s="59" t="s">
        <v>108</v>
      </c>
      <c r="W30" s="59" t="s">
        <v>108</v>
      </c>
    </row>
    <row r="31" spans="1:23">
      <c r="A31" s="53">
        <v>30</v>
      </c>
      <c r="B31" s="54" t="s">
        <v>1867</v>
      </c>
      <c r="C31" s="53" t="s">
        <v>235</v>
      </c>
      <c r="D31" s="53" t="s">
        <v>51</v>
      </c>
      <c r="E31" s="55" t="s">
        <v>27</v>
      </c>
      <c r="F31" s="53" t="s">
        <v>44</v>
      </c>
      <c r="G31" s="56" t="s">
        <v>108</v>
      </c>
      <c r="H31" s="56" t="s">
        <v>1589</v>
      </c>
      <c r="I31" s="53" t="s">
        <v>64</v>
      </c>
      <c r="J31" s="53" t="s">
        <v>1869</v>
      </c>
      <c r="K31" s="57" t="s">
        <v>108</v>
      </c>
      <c r="L31" s="56" t="s">
        <v>2208</v>
      </c>
      <c r="M31" s="56" t="s">
        <v>108</v>
      </c>
      <c r="N31" s="58" t="s">
        <v>108</v>
      </c>
      <c r="O31" s="58" t="s">
        <v>108</v>
      </c>
      <c r="P31" s="53" t="s">
        <v>108</v>
      </c>
      <c r="Q31" s="59" t="s">
        <v>2209</v>
      </c>
      <c r="R31" s="49">
        <v>8</v>
      </c>
      <c r="S31" s="48" t="s">
        <v>1415</v>
      </c>
      <c r="T31" s="60" t="s">
        <v>1498</v>
      </c>
      <c r="U31" s="60" t="s">
        <v>1416</v>
      </c>
      <c r="V31" s="60" t="s">
        <v>1407</v>
      </c>
      <c r="W31" s="61" t="s">
        <v>2210</v>
      </c>
    </row>
    <row r="32" spans="1:23" ht="29.25">
      <c r="A32" s="53">
        <v>31</v>
      </c>
      <c r="B32" s="54" t="s">
        <v>1867</v>
      </c>
      <c r="C32" s="53" t="s">
        <v>2211</v>
      </c>
      <c r="D32" s="53" t="s">
        <v>51</v>
      </c>
      <c r="E32" s="55" t="s">
        <v>25</v>
      </c>
      <c r="F32" s="53" t="s">
        <v>44</v>
      </c>
      <c r="G32" s="56" t="s">
        <v>108</v>
      </c>
      <c r="H32" s="56" t="s">
        <v>1760</v>
      </c>
      <c r="I32" s="53" t="s">
        <v>64</v>
      </c>
      <c r="J32" s="53" t="s">
        <v>1869</v>
      </c>
      <c r="K32" s="57" t="s">
        <v>108</v>
      </c>
      <c r="L32" s="56" t="s">
        <v>2212</v>
      </c>
      <c r="M32" s="56" t="s">
        <v>108</v>
      </c>
      <c r="N32" s="58" t="s">
        <v>108</v>
      </c>
      <c r="O32" s="58" t="s">
        <v>108</v>
      </c>
      <c r="P32" s="53" t="s">
        <v>108</v>
      </c>
      <c r="Q32" s="59" t="s">
        <v>2209</v>
      </c>
      <c r="R32" s="49">
        <v>8</v>
      </c>
      <c r="S32" s="48" t="s">
        <v>1415</v>
      </c>
      <c r="T32" s="60" t="s">
        <v>1498</v>
      </c>
      <c r="U32" s="60" t="s">
        <v>108</v>
      </c>
      <c r="V32" s="60" t="s">
        <v>108</v>
      </c>
      <c r="W32" s="61" t="s">
        <v>108</v>
      </c>
    </row>
    <row r="33" spans="1:23">
      <c r="A33" s="53">
        <v>32</v>
      </c>
      <c r="B33" s="54" t="s">
        <v>1867</v>
      </c>
      <c r="C33" s="53" t="s">
        <v>602</v>
      </c>
      <c r="D33" s="53" t="s">
        <v>51</v>
      </c>
      <c r="E33" s="55" t="s">
        <v>27</v>
      </c>
      <c r="F33" s="53" t="s">
        <v>44</v>
      </c>
      <c r="G33" s="56" t="s">
        <v>108</v>
      </c>
      <c r="H33" s="56" t="s">
        <v>1937</v>
      </c>
      <c r="I33" s="53" t="s">
        <v>64</v>
      </c>
      <c r="J33" s="53" t="s">
        <v>1869</v>
      </c>
      <c r="K33" s="57" t="s">
        <v>108</v>
      </c>
      <c r="L33" s="56" t="s">
        <v>2213</v>
      </c>
      <c r="M33" s="56" t="s">
        <v>108</v>
      </c>
      <c r="N33" s="58" t="s">
        <v>108</v>
      </c>
      <c r="O33" s="58" t="s">
        <v>108</v>
      </c>
      <c r="P33" s="53" t="s">
        <v>108</v>
      </c>
      <c r="Q33" s="59" t="s">
        <v>2209</v>
      </c>
      <c r="R33" s="49">
        <v>8</v>
      </c>
      <c r="S33" s="48" t="s">
        <v>1415</v>
      </c>
      <c r="T33" s="60" t="s">
        <v>1498</v>
      </c>
      <c r="U33" s="60" t="s">
        <v>108</v>
      </c>
      <c r="V33" s="60" t="s">
        <v>2214</v>
      </c>
      <c r="W33" s="61" t="s">
        <v>2215</v>
      </c>
    </row>
    <row r="34" spans="1:23">
      <c r="A34" s="53">
        <v>33</v>
      </c>
      <c r="B34" s="54" t="s">
        <v>1867</v>
      </c>
      <c r="C34" s="53" t="s">
        <v>602</v>
      </c>
      <c r="D34" s="53" t="s">
        <v>51</v>
      </c>
      <c r="E34" s="55" t="s">
        <v>27</v>
      </c>
      <c r="F34" s="53" t="s">
        <v>44</v>
      </c>
      <c r="G34" s="56" t="s">
        <v>108</v>
      </c>
      <c r="H34" s="56" t="s">
        <v>1937</v>
      </c>
      <c r="I34" s="53" t="s">
        <v>64</v>
      </c>
      <c r="J34" s="53" t="s">
        <v>1869</v>
      </c>
      <c r="K34" s="57" t="s">
        <v>108</v>
      </c>
      <c r="L34" s="56" t="s">
        <v>2216</v>
      </c>
      <c r="M34" s="56" t="s">
        <v>108</v>
      </c>
      <c r="N34" s="58" t="s">
        <v>108</v>
      </c>
      <c r="O34" s="58" t="s">
        <v>108</v>
      </c>
      <c r="P34" s="53" t="s">
        <v>108</v>
      </c>
      <c r="Q34" s="59" t="s">
        <v>2209</v>
      </c>
      <c r="R34" s="49">
        <v>8</v>
      </c>
      <c r="S34" s="48" t="s">
        <v>1415</v>
      </c>
      <c r="T34" s="60" t="s">
        <v>1498</v>
      </c>
      <c r="U34" s="60" t="s">
        <v>1416</v>
      </c>
      <c r="V34" s="60" t="s">
        <v>1407</v>
      </c>
      <c r="W34" s="61" t="s">
        <v>1960</v>
      </c>
    </row>
    <row r="35" spans="1:23">
      <c r="A35" s="53">
        <v>34</v>
      </c>
      <c r="B35" s="54" t="s">
        <v>1867</v>
      </c>
      <c r="C35" s="53" t="s">
        <v>1339</v>
      </c>
      <c r="D35" s="53" t="s">
        <v>51</v>
      </c>
      <c r="E35" s="55" t="s">
        <v>24</v>
      </c>
      <c r="F35" s="53" t="s">
        <v>44</v>
      </c>
      <c r="G35" s="56" t="s">
        <v>108</v>
      </c>
      <c r="H35" s="56" t="s">
        <v>2074</v>
      </c>
      <c r="I35" s="53" t="s">
        <v>64</v>
      </c>
      <c r="J35" s="53" t="s">
        <v>2217</v>
      </c>
      <c r="K35" s="57" t="s">
        <v>108</v>
      </c>
      <c r="L35" s="56" t="s">
        <v>2218</v>
      </c>
      <c r="M35" s="56" t="s">
        <v>108</v>
      </c>
      <c r="N35" s="58" t="s">
        <v>108</v>
      </c>
      <c r="O35" s="58" t="s">
        <v>108</v>
      </c>
      <c r="P35" s="53" t="s">
        <v>108</v>
      </c>
      <c r="Q35" s="59" t="s">
        <v>2219</v>
      </c>
      <c r="R35" s="49">
        <v>8</v>
      </c>
      <c r="S35" s="48" t="s">
        <v>1380</v>
      </c>
      <c r="T35" s="60" t="s">
        <v>1498</v>
      </c>
      <c r="U35" s="60" t="s">
        <v>1382</v>
      </c>
      <c r="V35" s="60" t="s">
        <v>1531</v>
      </c>
      <c r="W35" s="61" t="s">
        <v>2220</v>
      </c>
    </row>
    <row r="36" spans="1:23">
      <c r="A36" s="53">
        <v>35</v>
      </c>
      <c r="B36" s="54" t="s">
        <v>2221</v>
      </c>
      <c r="C36" s="53" t="s">
        <v>11</v>
      </c>
      <c r="D36" s="53" t="s">
        <v>51</v>
      </c>
      <c r="E36" s="55" t="s">
        <v>27</v>
      </c>
      <c r="F36" s="53" t="s">
        <v>44</v>
      </c>
      <c r="G36" s="56" t="s">
        <v>108</v>
      </c>
      <c r="H36" s="56" t="s">
        <v>108</v>
      </c>
      <c r="I36" s="53" t="s">
        <v>64</v>
      </c>
      <c r="J36" s="53" t="s">
        <v>1869</v>
      </c>
      <c r="K36" s="57" t="s">
        <v>108</v>
      </c>
      <c r="L36" s="56" t="s">
        <v>2222</v>
      </c>
      <c r="M36" s="56" t="s">
        <v>108</v>
      </c>
      <c r="N36" s="58" t="s">
        <v>108</v>
      </c>
      <c r="O36" s="58" t="s">
        <v>108</v>
      </c>
      <c r="P36" s="53" t="s">
        <v>108</v>
      </c>
      <c r="Q36" s="59" t="s">
        <v>2209</v>
      </c>
      <c r="R36" s="49">
        <v>8</v>
      </c>
      <c r="S36" s="48" t="s">
        <v>1415</v>
      </c>
      <c r="T36" s="60" t="s">
        <v>1498</v>
      </c>
      <c r="U36" s="60" t="s">
        <v>1416</v>
      </c>
      <c r="V36" s="60" t="s">
        <v>1436</v>
      </c>
      <c r="W36" s="61" t="s">
        <v>108</v>
      </c>
    </row>
    <row r="37" spans="1:23">
      <c r="A37" s="53">
        <v>36</v>
      </c>
      <c r="B37" s="54" t="s">
        <v>2223</v>
      </c>
      <c r="C37" s="53" t="s">
        <v>11</v>
      </c>
      <c r="D37" s="53" t="s">
        <v>51</v>
      </c>
      <c r="E37" s="55" t="s">
        <v>42</v>
      </c>
      <c r="F37" s="53" t="s">
        <v>44</v>
      </c>
      <c r="G37" s="56" t="s">
        <v>108</v>
      </c>
      <c r="H37" s="56" t="s">
        <v>108</v>
      </c>
      <c r="I37" s="53" t="s">
        <v>1386</v>
      </c>
      <c r="J37" s="53" t="s">
        <v>2224</v>
      </c>
      <c r="K37" s="57" t="s">
        <v>108</v>
      </c>
      <c r="L37" s="56" t="s">
        <v>2225</v>
      </c>
      <c r="M37" s="56" t="s">
        <v>108</v>
      </c>
      <c r="N37" s="58" t="s">
        <v>108</v>
      </c>
      <c r="O37" s="58" t="s">
        <v>108</v>
      </c>
      <c r="P37" s="53" t="s">
        <v>108</v>
      </c>
      <c r="Q37" s="59" t="s">
        <v>2226</v>
      </c>
      <c r="R37" s="49">
        <v>12</v>
      </c>
      <c r="S37" s="48" t="s">
        <v>1380</v>
      </c>
      <c r="T37" s="60" t="s">
        <v>1498</v>
      </c>
      <c r="U37" s="60" t="s">
        <v>108</v>
      </c>
      <c r="V37" s="60" t="s">
        <v>2227</v>
      </c>
      <c r="W37" s="61" t="s">
        <v>2228</v>
      </c>
    </row>
    <row r="38" spans="1:23">
      <c r="A38" s="53">
        <v>37</v>
      </c>
      <c r="B38" s="54" t="s">
        <v>2229</v>
      </c>
      <c r="C38" s="53" t="s">
        <v>2230</v>
      </c>
      <c r="D38" s="53" t="s">
        <v>51</v>
      </c>
      <c r="E38" s="55" t="s">
        <v>42</v>
      </c>
      <c r="F38" s="53" t="s">
        <v>44</v>
      </c>
      <c r="G38" s="56" t="s">
        <v>108</v>
      </c>
      <c r="H38" s="56" t="s">
        <v>108</v>
      </c>
      <c r="I38" s="53" t="s">
        <v>1386</v>
      </c>
      <c r="J38" s="53" t="s">
        <v>2231</v>
      </c>
      <c r="K38" s="57" t="s">
        <v>108</v>
      </c>
      <c r="L38" s="56" t="s">
        <v>2232</v>
      </c>
      <c r="M38" s="56" t="s">
        <v>108</v>
      </c>
      <c r="N38" s="58" t="s">
        <v>108</v>
      </c>
      <c r="O38" s="58" t="s">
        <v>108</v>
      </c>
      <c r="P38" s="53" t="s">
        <v>108</v>
      </c>
      <c r="Q38" s="59" t="s">
        <v>2219</v>
      </c>
      <c r="R38" s="49">
        <v>12</v>
      </c>
      <c r="S38" s="48" t="s">
        <v>1415</v>
      </c>
      <c r="T38" s="60" t="s">
        <v>1381</v>
      </c>
      <c r="U38" s="60" t="s">
        <v>108</v>
      </c>
      <c r="V38" s="60" t="s">
        <v>2233</v>
      </c>
      <c r="W38" s="61" t="s">
        <v>2234</v>
      </c>
    </row>
    <row r="39" spans="1:23">
      <c r="A39" s="53">
        <v>38</v>
      </c>
      <c r="B39" s="54" t="s">
        <v>2235</v>
      </c>
      <c r="C39" s="53" t="s">
        <v>11</v>
      </c>
      <c r="D39" s="53" t="s">
        <v>51</v>
      </c>
      <c r="E39" s="55" t="s">
        <v>40</v>
      </c>
      <c r="F39" s="53" t="s">
        <v>44</v>
      </c>
      <c r="G39" s="56" t="s">
        <v>108</v>
      </c>
      <c r="H39" s="56" t="s">
        <v>2236</v>
      </c>
      <c r="I39" s="53" t="s">
        <v>64</v>
      </c>
      <c r="J39" s="53" t="s">
        <v>2237</v>
      </c>
      <c r="K39" s="57" t="s">
        <v>108</v>
      </c>
      <c r="L39" s="56" t="s">
        <v>2238</v>
      </c>
      <c r="M39" s="56" t="s">
        <v>108</v>
      </c>
      <c r="N39" s="58" t="s">
        <v>108</v>
      </c>
      <c r="O39" s="58" t="s">
        <v>108</v>
      </c>
      <c r="P39" s="53" t="s">
        <v>108</v>
      </c>
      <c r="Q39" s="59" t="s">
        <v>2239</v>
      </c>
      <c r="R39" s="49">
        <v>12</v>
      </c>
      <c r="S39" s="48" t="s">
        <v>1380</v>
      </c>
      <c r="T39" s="60" t="s">
        <v>1498</v>
      </c>
      <c r="U39" s="60" t="s">
        <v>1382</v>
      </c>
      <c r="V39" s="60" t="s">
        <v>1436</v>
      </c>
      <c r="W39" s="61" t="s">
        <v>2240</v>
      </c>
    </row>
    <row r="40" spans="1:23">
      <c r="A40" s="53">
        <v>39</v>
      </c>
      <c r="B40" s="54" t="s">
        <v>2241</v>
      </c>
      <c r="C40" s="53" t="s">
        <v>2242</v>
      </c>
      <c r="D40" s="53" t="s">
        <v>51</v>
      </c>
      <c r="E40" s="55" t="s">
        <v>42</v>
      </c>
      <c r="F40" s="53" t="s">
        <v>44</v>
      </c>
      <c r="G40" s="56" t="s">
        <v>108</v>
      </c>
      <c r="H40" s="56" t="s">
        <v>108</v>
      </c>
      <c r="I40" s="53" t="s">
        <v>1386</v>
      </c>
      <c r="J40" s="53" t="s">
        <v>2243</v>
      </c>
      <c r="K40" s="57" t="s">
        <v>108</v>
      </c>
      <c r="L40" s="56" t="s">
        <v>2244</v>
      </c>
      <c r="M40" s="56" t="s">
        <v>108</v>
      </c>
      <c r="N40" s="58" t="s">
        <v>108</v>
      </c>
      <c r="O40" s="58" t="s">
        <v>108</v>
      </c>
      <c r="P40" s="53" t="s">
        <v>108</v>
      </c>
      <c r="Q40" s="59" t="s">
        <v>2245</v>
      </c>
      <c r="R40" s="49">
        <v>16</v>
      </c>
      <c r="S40" s="48" t="s">
        <v>1415</v>
      </c>
      <c r="T40" s="60" t="s">
        <v>1381</v>
      </c>
      <c r="U40" s="60" t="s">
        <v>108</v>
      </c>
      <c r="V40" s="60" t="s">
        <v>108</v>
      </c>
      <c r="W40" s="61" t="s">
        <v>108</v>
      </c>
    </row>
    <row r="41" spans="1:23">
      <c r="A41" s="53">
        <v>40</v>
      </c>
      <c r="B41" s="54" t="s">
        <v>2246</v>
      </c>
      <c r="C41" s="53" t="s">
        <v>210</v>
      </c>
      <c r="D41" s="53" t="s">
        <v>51</v>
      </c>
      <c r="E41" s="55" t="s">
        <v>23</v>
      </c>
      <c r="F41" s="53" t="s">
        <v>44</v>
      </c>
      <c r="G41" s="56" t="s">
        <v>108</v>
      </c>
      <c r="H41" s="56" t="s">
        <v>2247</v>
      </c>
      <c r="I41" s="53" t="s">
        <v>1386</v>
      </c>
      <c r="J41" s="53" t="s">
        <v>2248</v>
      </c>
      <c r="K41" s="57" t="s">
        <v>108</v>
      </c>
      <c r="L41" s="56" t="s">
        <v>2249</v>
      </c>
      <c r="M41" s="56" t="s">
        <v>108</v>
      </c>
      <c r="N41" s="58" t="s">
        <v>108</v>
      </c>
      <c r="O41" s="58" t="s">
        <v>108</v>
      </c>
      <c r="P41" s="53" t="s">
        <v>108</v>
      </c>
      <c r="Q41" s="59" t="s">
        <v>2250</v>
      </c>
      <c r="R41" s="49">
        <v>8</v>
      </c>
      <c r="S41" s="48" t="s">
        <v>2251</v>
      </c>
      <c r="T41" s="60" t="s">
        <v>1498</v>
      </c>
      <c r="U41" s="60" t="s">
        <v>108</v>
      </c>
      <c r="V41" s="60" t="s">
        <v>2252</v>
      </c>
      <c r="W41" s="61" t="s">
        <v>2253</v>
      </c>
    </row>
    <row r="42" spans="1:23" ht="29.25">
      <c r="A42" s="53">
        <v>41</v>
      </c>
      <c r="B42" s="54" t="s">
        <v>2254</v>
      </c>
      <c r="C42" s="53" t="s">
        <v>314</v>
      </c>
      <c r="D42" s="53" t="s">
        <v>51</v>
      </c>
      <c r="E42" s="55" t="s">
        <v>25</v>
      </c>
      <c r="F42" s="53" t="s">
        <v>44</v>
      </c>
      <c r="G42" s="56" t="s">
        <v>108</v>
      </c>
      <c r="H42" s="56" t="s">
        <v>1670</v>
      </c>
      <c r="I42" s="53" t="s">
        <v>1502</v>
      </c>
      <c r="J42" s="53" t="s">
        <v>2012</v>
      </c>
      <c r="K42" s="57" t="s">
        <v>108</v>
      </c>
      <c r="L42" s="56" t="s">
        <v>2255</v>
      </c>
      <c r="M42" s="56" t="s">
        <v>108</v>
      </c>
      <c r="N42" s="58" t="s">
        <v>108</v>
      </c>
      <c r="O42" s="58" t="s">
        <v>108</v>
      </c>
      <c r="P42" s="53" t="s">
        <v>108</v>
      </c>
      <c r="Q42" s="59" t="s">
        <v>2256</v>
      </c>
      <c r="R42" s="49">
        <v>12</v>
      </c>
      <c r="S42" s="48" t="s">
        <v>1415</v>
      </c>
      <c r="T42" s="60" t="s">
        <v>1381</v>
      </c>
      <c r="U42" s="60" t="s">
        <v>108</v>
      </c>
      <c r="V42" s="60" t="s">
        <v>108</v>
      </c>
      <c r="W42" s="61" t="s">
        <v>108</v>
      </c>
    </row>
    <row r="43" spans="1:23">
      <c r="A43" s="53">
        <v>42</v>
      </c>
      <c r="B43" s="54" t="s">
        <v>2254</v>
      </c>
      <c r="C43" s="53" t="s">
        <v>510</v>
      </c>
      <c r="D43" s="53" t="s">
        <v>51</v>
      </c>
      <c r="E43" s="55" t="s">
        <v>27</v>
      </c>
      <c r="F43" s="53" t="s">
        <v>44</v>
      </c>
      <c r="G43" s="56" t="s">
        <v>108</v>
      </c>
      <c r="H43" s="56" t="s">
        <v>1847</v>
      </c>
      <c r="I43" s="53" t="s">
        <v>1502</v>
      </c>
      <c r="J43" s="53" t="s">
        <v>2012</v>
      </c>
      <c r="K43" s="57" t="s">
        <v>108</v>
      </c>
      <c r="L43" s="56" t="s">
        <v>2257</v>
      </c>
      <c r="M43" s="56" t="s">
        <v>108</v>
      </c>
      <c r="N43" s="58" t="s">
        <v>108</v>
      </c>
      <c r="O43" s="58" t="s">
        <v>108</v>
      </c>
      <c r="P43" s="53" t="s">
        <v>108</v>
      </c>
      <c r="Q43" s="59" t="s">
        <v>2256</v>
      </c>
      <c r="R43" s="49">
        <v>16</v>
      </c>
      <c r="S43" s="48" t="s">
        <v>1415</v>
      </c>
      <c r="T43" s="60" t="s">
        <v>1381</v>
      </c>
      <c r="U43" s="60" t="s">
        <v>108</v>
      </c>
      <c r="V43" s="60" t="s">
        <v>2258</v>
      </c>
      <c r="W43" s="61" t="s">
        <v>2259</v>
      </c>
    </row>
    <row r="44" spans="1:23">
      <c r="A44" s="53">
        <v>43</v>
      </c>
      <c r="B44" s="54" t="s">
        <v>2260</v>
      </c>
      <c r="C44" s="53" t="s">
        <v>2261</v>
      </c>
      <c r="D44" s="53" t="s">
        <v>51</v>
      </c>
      <c r="E44" s="55" t="s">
        <v>39</v>
      </c>
      <c r="F44" s="53" t="s">
        <v>44</v>
      </c>
      <c r="G44" s="56" t="s">
        <v>108</v>
      </c>
      <c r="H44" s="56" t="s">
        <v>2262</v>
      </c>
      <c r="I44" s="53" t="s">
        <v>1502</v>
      </c>
      <c r="J44" s="53" t="s">
        <v>2012</v>
      </c>
      <c r="K44" s="57" t="s">
        <v>108</v>
      </c>
      <c r="L44" s="56" t="s">
        <v>2263</v>
      </c>
      <c r="M44" s="56" t="s">
        <v>108</v>
      </c>
      <c r="N44" s="58" t="s">
        <v>108</v>
      </c>
      <c r="O44" s="58" t="s">
        <v>108</v>
      </c>
      <c r="P44" s="53" t="s">
        <v>108</v>
      </c>
      <c r="Q44" s="59" t="s">
        <v>2256</v>
      </c>
      <c r="R44" s="49">
        <v>8</v>
      </c>
      <c r="S44" s="48" t="s">
        <v>1415</v>
      </c>
      <c r="T44" s="60" t="s">
        <v>1498</v>
      </c>
      <c r="U44" s="60" t="s">
        <v>1382</v>
      </c>
      <c r="V44" s="60" t="s">
        <v>2015</v>
      </c>
      <c r="W44" s="61" t="s">
        <v>2264</v>
      </c>
    </row>
    <row r="45" spans="1:23">
      <c r="A45" s="53">
        <v>44</v>
      </c>
      <c r="B45" s="54" t="s">
        <v>2260</v>
      </c>
      <c r="C45" s="53" t="s">
        <v>2265</v>
      </c>
      <c r="D45" s="53" t="s">
        <v>51</v>
      </c>
      <c r="E45" s="55" t="s">
        <v>27</v>
      </c>
      <c r="F45" s="53" t="s">
        <v>44</v>
      </c>
      <c r="G45" s="56" t="s">
        <v>108</v>
      </c>
      <c r="H45" s="56" t="s">
        <v>2266</v>
      </c>
      <c r="I45" s="53" t="s">
        <v>1502</v>
      </c>
      <c r="J45" s="53" t="s">
        <v>2012</v>
      </c>
      <c r="K45" s="57" t="s">
        <v>108</v>
      </c>
      <c r="L45" s="56" t="s">
        <v>2267</v>
      </c>
      <c r="M45" s="56" t="s">
        <v>108</v>
      </c>
      <c r="N45" s="58" t="s">
        <v>108</v>
      </c>
      <c r="O45" s="58" t="s">
        <v>108</v>
      </c>
      <c r="P45" s="53" t="s">
        <v>108</v>
      </c>
      <c r="Q45" s="59" t="s">
        <v>2256</v>
      </c>
      <c r="R45" s="49">
        <v>8</v>
      </c>
      <c r="S45" s="48" t="s">
        <v>1415</v>
      </c>
      <c r="T45" s="60" t="s">
        <v>1381</v>
      </c>
      <c r="U45" s="60" t="s">
        <v>108</v>
      </c>
      <c r="V45" s="60" t="s">
        <v>2268</v>
      </c>
      <c r="W45" s="61" t="s">
        <v>2269</v>
      </c>
    </row>
    <row r="46" spans="1:23">
      <c r="A46" s="53">
        <v>45</v>
      </c>
      <c r="B46" s="54" t="s">
        <v>2270</v>
      </c>
      <c r="C46" s="53" t="s">
        <v>2242</v>
      </c>
      <c r="D46" s="53" t="s">
        <v>51</v>
      </c>
      <c r="E46" s="55" t="s">
        <v>27</v>
      </c>
      <c r="F46" s="53" t="s">
        <v>44</v>
      </c>
      <c r="G46" s="56" t="s">
        <v>108</v>
      </c>
      <c r="H46" s="56" t="s">
        <v>2271</v>
      </c>
      <c r="I46" s="53" t="s">
        <v>1502</v>
      </c>
      <c r="J46" s="53" t="s">
        <v>2012</v>
      </c>
      <c r="K46" s="57" t="s">
        <v>108</v>
      </c>
      <c r="L46" s="56" t="s">
        <v>2272</v>
      </c>
      <c r="M46" s="56" t="s">
        <v>108</v>
      </c>
      <c r="N46" s="58" t="s">
        <v>108</v>
      </c>
      <c r="O46" s="58" t="s">
        <v>108</v>
      </c>
      <c r="P46" s="53" t="s">
        <v>108</v>
      </c>
      <c r="Q46" s="59" t="s">
        <v>2273</v>
      </c>
      <c r="R46" s="49">
        <v>8</v>
      </c>
      <c r="S46" s="48" t="s">
        <v>1415</v>
      </c>
      <c r="T46" s="60" t="s">
        <v>1498</v>
      </c>
      <c r="U46" s="60" t="s">
        <v>108</v>
      </c>
      <c r="V46" s="60"/>
      <c r="W46" s="61" t="s">
        <v>108</v>
      </c>
    </row>
    <row r="47" spans="1:23">
      <c r="A47" s="53">
        <v>46</v>
      </c>
      <c r="B47" s="54" t="s">
        <v>1469</v>
      </c>
      <c r="C47" s="53" t="s">
        <v>2274</v>
      </c>
      <c r="D47" s="53" t="s">
        <v>51</v>
      </c>
      <c r="E47" s="55" t="s">
        <v>27</v>
      </c>
      <c r="F47" s="53" t="s">
        <v>44</v>
      </c>
      <c r="G47" s="56" t="s">
        <v>108</v>
      </c>
      <c r="H47" s="56" t="s">
        <v>2275</v>
      </c>
      <c r="I47" s="53" t="s">
        <v>1502</v>
      </c>
      <c r="J47" s="53" t="s">
        <v>2012</v>
      </c>
      <c r="K47" s="57" t="s">
        <v>108</v>
      </c>
      <c r="L47" s="56" t="s">
        <v>2276</v>
      </c>
      <c r="M47" s="56" t="s">
        <v>108</v>
      </c>
      <c r="N47" s="58" t="s">
        <v>108</v>
      </c>
      <c r="O47" s="58" t="s">
        <v>108</v>
      </c>
      <c r="P47" s="53" t="s">
        <v>108</v>
      </c>
      <c r="Q47" s="59" t="s">
        <v>2277</v>
      </c>
      <c r="R47" s="49">
        <v>8</v>
      </c>
      <c r="S47" s="48" t="s">
        <v>1415</v>
      </c>
      <c r="T47" s="60" t="s">
        <v>1381</v>
      </c>
      <c r="U47" s="60" t="s">
        <v>1416</v>
      </c>
      <c r="V47" s="60" t="s">
        <v>2015</v>
      </c>
      <c r="W47" s="61" t="s">
        <v>2278</v>
      </c>
    </row>
    <row r="48" spans="1:23">
      <c r="A48" s="53">
        <v>47</v>
      </c>
      <c r="B48" s="54" t="s">
        <v>1469</v>
      </c>
      <c r="C48" s="53" t="s">
        <v>2279</v>
      </c>
      <c r="D48" s="53" t="s">
        <v>51</v>
      </c>
      <c r="E48" s="55" t="s">
        <v>22</v>
      </c>
      <c r="F48" s="53" t="s">
        <v>44</v>
      </c>
      <c r="G48" s="56" t="s">
        <v>108</v>
      </c>
      <c r="H48" s="56" t="s">
        <v>2280</v>
      </c>
      <c r="I48" s="53" t="s">
        <v>1502</v>
      </c>
      <c r="J48" s="53" t="s">
        <v>2012</v>
      </c>
      <c r="K48" s="57" t="s">
        <v>108</v>
      </c>
      <c r="L48" s="56" t="s">
        <v>2281</v>
      </c>
      <c r="M48" s="56" t="s">
        <v>108</v>
      </c>
      <c r="N48" s="58" t="s">
        <v>108</v>
      </c>
      <c r="O48" s="58" t="s">
        <v>108</v>
      </c>
      <c r="P48" s="53" t="s">
        <v>108</v>
      </c>
      <c r="Q48" s="59" t="s">
        <v>2256</v>
      </c>
      <c r="R48" s="49">
        <v>8</v>
      </c>
      <c r="S48" s="48" t="s">
        <v>1415</v>
      </c>
      <c r="T48" s="60" t="s">
        <v>1381</v>
      </c>
      <c r="U48" s="60"/>
      <c r="V48" s="60" t="s">
        <v>2282</v>
      </c>
      <c r="W48" s="61" t="s">
        <v>2283</v>
      </c>
    </row>
    <row r="49" spans="1:23">
      <c r="A49" s="53">
        <v>48</v>
      </c>
      <c r="B49" s="54" t="s">
        <v>1826</v>
      </c>
      <c r="C49" s="53" t="s">
        <v>2284</v>
      </c>
      <c r="D49" s="53" t="s">
        <v>51</v>
      </c>
      <c r="E49" s="55" t="s">
        <v>24</v>
      </c>
      <c r="F49" s="53" t="s">
        <v>44</v>
      </c>
      <c r="G49" s="56" t="s">
        <v>108</v>
      </c>
      <c r="H49" s="56" t="s">
        <v>2285</v>
      </c>
      <c r="I49" s="53" t="s">
        <v>64</v>
      </c>
      <c r="J49" s="53" t="s">
        <v>1869</v>
      </c>
      <c r="K49" s="57" t="s">
        <v>108</v>
      </c>
      <c r="L49" s="56" t="s">
        <v>2286</v>
      </c>
      <c r="M49" s="56" t="s">
        <v>108</v>
      </c>
      <c r="N49" s="58" t="s">
        <v>108</v>
      </c>
      <c r="O49" s="58" t="s">
        <v>108</v>
      </c>
      <c r="P49" s="53" t="s">
        <v>108</v>
      </c>
      <c r="Q49" s="59" t="s">
        <v>2287</v>
      </c>
      <c r="R49" s="49">
        <v>8</v>
      </c>
      <c r="S49" s="48" t="s">
        <v>1415</v>
      </c>
      <c r="T49" s="60" t="s">
        <v>1498</v>
      </c>
      <c r="U49" s="60" t="s">
        <v>1382</v>
      </c>
      <c r="V49" s="60" t="s">
        <v>1407</v>
      </c>
      <c r="W49" s="61" t="s">
        <v>1960</v>
      </c>
    </row>
    <row r="50" spans="1:23">
      <c r="A50" s="53">
        <v>49</v>
      </c>
      <c r="B50" s="54" t="s">
        <v>1867</v>
      </c>
      <c r="C50" s="53" t="s">
        <v>11</v>
      </c>
      <c r="D50" s="53" t="s">
        <v>51</v>
      </c>
      <c r="E50" s="55" t="s">
        <v>22</v>
      </c>
      <c r="F50" s="53" t="s">
        <v>44</v>
      </c>
      <c r="G50" s="56" t="s">
        <v>108</v>
      </c>
      <c r="H50" s="56" t="s">
        <v>2288</v>
      </c>
      <c r="I50" s="53" t="s">
        <v>64</v>
      </c>
      <c r="J50" s="53" t="s">
        <v>1869</v>
      </c>
      <c r="K50" s="57" t="s">
        <v>108</v>
      </c>
      <c r="L50" s="56" t="s">
        <v>2289</v>
      </c>
      <c r="M50" s="56" t="s">
        <v>108</v>
      </c>
      <c r="N50" s="58" t="s">
        <v>108</v>
      </c>
      <c r="O50" s="58" t="s">
        <v>108</v>
      </c>
      <c r="P50" s="53" t="s">
        <v>108</v>
      </c>
      <c r="Q50" s="59" t="s">
        <v>2290</v>
      </c>
      <c r="R50" s="49">
        <v>16</v>
      </c>
      <c r="S50" s="48" t="s">
        <v>1415</v>
      </c>
      <c r="T50" s="60" t="s">
        <v>1381</v>
      </c>
      <c r="U50" s="60" t="s">
        <v>1416</v>
      </c>
      <c r="V50" s="60" t="s">
        <v>2214</v>
      </c>
      <c r="W50" s="61" t="s">
        <v>2215</v>
      </c>
    </row>
    <row r="51" spans="1:23">
      <c r="A51" s="53">
        <v>50</v>
      </c>
      <c r="B51" s="54" t="s">
        <v>2291</v>
      </c>
      <c r="C51" s="53" t="s">
        <v>11</v>
      </c>
      <c r="D51" s="53" t="s">
        <v>51</v>
      </c>
      <c r="E51" s="55" t="s">
        <v>27</v>
      </c>
      <c r="F51" s="53" t="s">
        <v>44</v>
      </c>
      <c r="G51" s="56" t="s">
        <v>108</v>
      </c>
      <c r="H51" s="56" t="s">
        <v>2292</v>
      </c>
      <c r="I51" s="53" t="s">
        <v>64</v>
      </c>
      <c r="J51" s="53" t="s">
        <v>1459</v>
      </c>
      <c r="K51" s="57" t="s">
        <v>108</v>
      </c>
      <c r="L51" s="56" t="s">
        <v>2293</v>
      </c>
      <c r="M51" s="56" t="s">
        <v>108</v>
      </c>
      <c r="N51" s="58" t="s">
        <v>108</v>
      </c>
      <c r="O51" s="58" t="s">
        <v>108</v>
      </c>
      <c r="P51" s="53" t="s">
        <v>108</v>
      </c>
      <c r="Q51" s="59" t="s">
        <v>2294</v>
      </c>
      <c r="R51" s="49">
        <v>8</v>
      </c>
      <c r="S51" s="48" t="s">
        <v>1415</v>
      </c>
      <c r="T51" s="60" t="s">
        <v>1381</v>
      </c>
      <c r="U51" s="60" t="s">
        <v>1416</v>
      </c>
      <c r="V51" s="60" t="s">
        <v>1455</v>
      </c>
      <c r="W51" s="61" t="s">
        <v>2295</v>
      </c>
    </row>
    <row r="52" spans="1:23">
      <c r="A52" s="53">
        <v>51</v>
      </c>
      <c r="B52" s="54" t="s">
        <v>2296</v>
      </c>
      <c r="C52" s="53" t="s">
        <v>11</v>
      </c>
      <c r="D52" s="53" t="s">
        <v>51</v>
      </c>
      <c r="E52" s="55" t="s">
        <v>22</v>
      </c>
      <c r="F52" s="53" t="s">
        <v>44</v>
      </c>
      <c r="G52" s="56" t="s">
        <v>108</v>
      </c>
      <c r="H52" s="56" t="s">
        <v>2297</v>
      </c>
      <c r="I52" s="53" t="s">
        <v>1502</v>
      </c>
      <c r="J52" s="53" t="s">
        <v>2012</v>
      </c>
      <c r="K52" s="57" t="s">
        <v>108</v>
      </c>
      <c r="L52" s="56" t="s">
        <v>2298</v>
      </c>
      <c r="M52" s="56" t="s">
        <v>108</v>
      </c>
      <c r="N52" s="58" t="s">
        <v>108</v>
      </c>
      <c r="O52" s="58" t="s">
        <v>108</v>
      </c>
      <c r="P52" s="53" t="s">
        <v>108</v>
      </c>
      <c r="Q52" s="59" t="s">
        <v>2299</v>
      </c>
      <c r="R52" s="49">
        <v>16</v>
      </c>
      <c r="S52" s="48" t="s">
        <v>1415</v>
      </c>
      <c r="T52" s="60" t="s">
        <v>1498</v>
      </c>
      <c r="U52" s="60" t="s">
        <v>1382</v>
      </c>
      <c r="V52" s="60"/>
      <c r="W52" s="61"/>
    </row>
    <row r="53" spans="1:23">
      <c r="A53" s="53">
        <v>52</v>
      </c>
      <c r="B53" s="54" t="s">
        <v>2300</v>
      </c>
      <c r="C53" s="53" t="s">
        <v>11</v>
      </c>
      <c r="D53" s="53" t="s">
        <v>51</v>
      </c>
      <c r="E53" s="55" t="s">
        <v>24</v>
      </c>
      <c r="F53" s="53" t="s">
        <v>44</v>
      </c>
      <c r="G53" s="56" t="s">
        <v>108</v>
      </c>
      <c r="H53" s="56" t="s">
        <v>2301</v>
      </c>
      <c r="I53" s="53" t="s">
        <v>1502</v>
      </c>
      <c r="J53" s="53" t="s">
        <v>2012</v>
      </c>
      <c r="K53" s="57" t="s">
        <v>108</v>
      </c>
      <c r="L53" s="56" t="s">
        <v>2302</v>
      </c>
      <c r="M53" s="56" t="s">
        <v>108</v>
      </c>
      <c r="N53" s="58" t="s">
        <v>108</v>
      </c>
      <c r="O53" s="58" t="s">
        <v>108</v>
      </c>
      <c r="P53" s="53" t="s">
        <v>108</v>
      </c>
      <c r="Q53" s="59" t="s">
        <v>2256</v>
      </c>
      <c r="R53" s="49">
        <v>16</v>
      </c>
      <c r="S53" s="48" t="s">
        <v>1415</v>
      </c>
      <c r="T53" s="60" t="s">
        <v>1381</v>
      </c>
      <c r="U53" s="60" t="s">
        <v>1382</v>
      </c>
      <c r="V53" s="60" t="s">
        <v>2282</v>
      </c>
      <c r="W53" s="61" t="s">
        <v>2303</v>
      </c>
    </row>
    <row r="54" spans="1:23">
      <c r="A54" s="53">
        <v>53</v>
      </c>
      <c r="B54" s="54" t="s">
        <v>2304</v>
      </c>
      <c r="C54" s="53" t="s">
        <v>11</v>
      </c>
      <c r="D54" s="53" t="s">
        <v>51</v>
      </c>
      <c r="E54" s="55" t="s">
        <v>29</v>
      </c>
      <c r="F54" s="53" t="s">
        <v>44</v>
      </c>
      <c r="G54" s="56" t="s">
        <v>108</v>
      </c>
      <c r="H54" s="56" t="s">
        <v>2305</v>
      </c>
      <c r="I54" s="53" t="s">
        <v>1386</v>
      </c>
      <c r="J54" s="53" t="s">
        <v>2306</v>
      </c>
      <c r="K54" s="57" t="s">
        <v>108</v>
      </c>
      <c r="L54" s="56" t="s">
        <v>2307</v>
      </c>
      <c r="M54" s="56" t="s">
        <v>108</v>
      </c>
      <c r="N54" s="58" t="s">
        <v>108</v>
      </c>
      <c r="O54" s="58" t="s">
        <v>108</v>
      </c>
      <c r="P54" s="53" t="s">
        <v>108</v>
      </c>
      <c r="Q54" s="59" t="s">
        <v>2308</v>
      </c>
      <c r="R54" s="49">
        <v>8</v>
      </c>
      <c r="S54" s="48" t="s">
        <v>1380</v>
      </c>
      <c r="T54" s="60" t="s">
        <v>1498</v>
      </c>
      <c r="U54" s="60" t="s">
        <v>1382</v>
      </c>
      <c r="V54" s="60" t="s">
        <v>2309</v>
      </c>
      <c r="W54" s="61" t="s">
        <v>2310</v>
      </c>
    </row>
    <row r="55" spans="1:23">
      <c r="A55" s="53">
        <v>54</v>
      </c>
      <c r="B55" s="54" t="s">
        <v>2311</v>
      </c>
      <c r="C55" s="53" t="s">
        <v>42</v>
      </c>
      <c r="D55" s="53" t="s">
        <v>51</v>
      </c>
      <c r="E55" s="55" t="s">
        <v>42</v>
      </c>
      <c r="F55" s="53" t="s">
        <v>44</v>
      </c>
      <c r="G55" s="56" t="s">
        <v>108</v>
      </c>
      <c r="H55" s="56" t="s">
        <v>2312</v>
      </c>
      <c r="I55" s="53" t="s">
        <v>64</v>
      </c>
      <c r="J55" s="53" t="s">
        <v>2313</v>
      </c>
      <c r="K55" s="57" t="s">
        <v>108</v>
      </c>
      <c r="L55" s="56" t="s">
        <v>2314</v>
      </c>
      <c r="M55" s="56" t="s">
        <v>108</v>
      </c>
      <c r="N55" s="58" t="s">
        <v>108</v>
      </c>
      <c r="O55" s="58" t="s">
        <v>108</v>
      </c>
      <c r="P55" s="53" t="s">
        <v>108</v>
      </c>
      <c r="Q55" s="59" t="s">
        <v>2315</v>
      </c>
      <c r="R55" s="49">
        <v>32</v>
      </c>
      <c r="S55" s="48" t="s">
        <v>1380</v>
      </c>
      <c r="T55" s="60" t="s">
        <v>1381</v>
      </c>
      <c r="U55" s="60" t="s">
        <v>108</v>
      </c>
      <c r="V55" s="60" t="s">
        <v>2316</v>
      </c>
      <c r="W55" s="61" t="s">
        <v>2317</v>
      </c>
    </row>
    <row r="56" spans="1:23">
      <c r="A56" s="53">
        <v>55</v>
      </c>
      <c r="B56" s="54" t="s">
        <v>108</v>
      </c>
      <c r="C56" s="53" t="s">
        <v>11</v>
      </c>
      <c r="D56" s="53" t="s">
        <v>50</v>
      </c>
      <c r="E56" s="55" t="s">
        <v>42</v>
      </c>
      <c r="F56" s="53" t="s">
        <v>44</v>
      </c>
      <c r="G56" s="56" t="s">
        <v>108</v>
      </c>
      <c r="H56" s="56" t="s">
        <v>108</v>
      </c>
      <c r="I56" s="53" t="s">
        <v>1502</v>
      </c>
      <c r="J56" s="53" t="s">
        <v>2318</v>
      </c>
      <c r="K56" s="57" t="s">
        <v>108</v>
      </c>
      <c r="L56" s="56" t="s">
        <v>2319</v>
      </c>
      <c r="M56" s="56" t="s">
        <v>108</v>
      </c>
      <c r="N56" s="58" t="s">
        <v>108</v>
      </c>
      <c r="O56" s="58" t="s">
        <v>108</v>
      </c>
      <c r="P56" s="53" t="s">
        <v>108</v>
      </c>
      <c r="Q56" s="59" t="s">
        <v>2320</v>
      </c>
      <c r="R56" s="49">
        <v>8</v>
      </c>
      <c r="S56" s="48" t="s">
        <v>108</v>
      </c>
      <c r="T56" s="60" t="s">
        <v>1498</v>
      </c>
      <c r="U56" s="60" t="s">
        <v>108</v>
      </c>
      <c r="V56" s="60" t="s">
        <v>108</v>
      </c>
      <c r="W56" s="61" t="s">
        <v>108</v>
      </c>
    </row>
    <row r="57" spans="1:23" ht="29.25">
      <c r="A57" s="53">
        <v>56</v>
      </c>
      <c r="B57" s="54" t="s">
        <v>108</v>
      </c>
      <c r="C57" s="53" t="s">
        <v>2321</v>
      </c>
      <c r="D57" s="53" t="s">
        <v>50</v>
      </c>
      <c r="E57" s="55" t="s">
        <v>25</v>
      </c>
      <c r="F57" s="53" t="s">
        <v>44</v>
      </c>
      <c r="G57" s="56" t="s">
        <v>108</v>
      </c>
      <c r="H57" s="56" t="s">
        <v>2322</v>
      </c>
      <c r="I57" s="53" t="s">
        <v>108</v>
      </c>
      <c r="J57" s="53" t="s">
        <v>108</v>
      </c>
      <c r="K57" s="57" t="s">
        <v>108</v>
      </c>
      <c r="L57" s="56" t="s">
        <v>108</v>
      </c>
      <c r="M57" s="56" t="s">
        <v>108</v>
      </c>
      <c r="N57" s="58" t="s">
        <v>108</v>
      </c>
      <c r="O57" s="58" t="s">
        <v>108</v>
      </c>
      <c r="P57" s="53" t="s">
        <v>108</v>
      </c>
      <c r="Q57" s="59" t="s">
        <v>2323</v>
      </c>
      <c r="R57" s="49">
        <v>16</v>
      </c>
      <c r="S57" s="48" t="s">
        <v>108</v>
      </c>
      <c r="T57" s="60" t="s">
        <v>1498</v>
      </c>
      <c r="U57" s="60" t="s">
        <v>108</v>
      </c>
      <c r="V57" s="60" t="s">
        <v>108</v>
      </c>
      <c r="W57" s="61" t="s">
        <v>108</v>
      </c>
    </row>
    <row r="58" spans="1:23">
      <c r="A58" s="53">
        <v>57</v>
      </c>
      <c r="B58" s="54" t="s">
        <v>2324</v>
      </c>
      <c r="C58" s="53" t="s">
        <v>11</v>
      </c>
      <c r="D58" s="53" t="s">
        <v>51</v>
      </c>
      <c r="E58" s="55" t="s">
        <v>2325</v>
      </c>
      <c r="F58" s="53" t="s">
        <v>44</v>
      </c>
      <c r="G58" s="56" t="s">
        <v>108</v>
      </c>
      <c r="H58" s="56" t="s">
        <v>2168</v>
      </c>
      <c r="I58" s="53" t="s">
        <v>64</v>
      </c>
      <c r="J58" s="53" t="s">
        <v>1863</v>
      </c>
      <c r="K58" s="57" t="s">
        <v>108</v>
      </c>
      <c r="L58" s="56" t="s">
        <v>2326</v>
      </c>
      <c r="M58" s="56" t="s">
        <v>108</v>
      </c>
      <c r="N58" s="58" t="s">
        <v>108</v>
      </c>
      <c r="O58" s="58" t="s">
        <v>108</v>
      </c>
      <c r="P58" s="53" t="s">
        <v>108</v>
      </c>
      <c r="Q58" s="59" t="s">
        <v>2299</v>
      </c>
      <c r="R58" s="49">
        <v>16</v>
      </c>
      <c r="S58" s="48" t="s">
        <v>1380</v>
      </c>
      <c r="T58" s="60" t="s">
        <v>1381</v>
      </c>
      <c r="U58" s="60" t="s">
        <v>1382</v>
      </c>
      <c r="V58" s="60" t="s">
        <v>1392</v>
      </c>
      <c r="W58" s="61" t="s">
        <v>2327</v>
      </c>
    </row>
    <row r="59" spans="1:23">
      <c r="A59" s="53">
        <v>58</v>
      </c>
      <c r="B59" s="54" t="s">
        <v>2260</v>
      </c>
      <c r="C59" s="53" t="s">
        <v>11</v>
      </c>
      <c r="D59" s="53" t="s">
        <v>51</v>
      </c>
      <c r="E59" s="55" t="s">
        <v>27</v>
      </c>
      <c r="F59" s="53" t="s">
        <v>44</v>
      </c>
      <c r="G59" s="56" t="s">
        <v>108</v>
      </c>
      <c r="H59" s="56" t="s">
        <v>2328</v>
      </c>
      <c r="I59" s="53" t="s">
        <v>1502</v>
      </c>
      <c r="J59" s="53" t="s">
        <v>2012</v>
      </c>
      <c r="K59" s="57" t="s">
        <v>108</v>
      </c>
      <c r="L59" s="56" t="s">
        <v>2329</v>
      </c>
      <c r="M59" s="56" t="s">
        <v>108</v>
      </c>
      <c r="N59" s="58">
        <v>44383</v>
      </c>
      <c r="O59" s="58" t="s">
        <v>108</v>
      </c>
      <c r="P59" s="53" t="s">
        <v>108</v>
      </c>
      <c r="Q59" s="59" t="s">
        <v>2330</v>
      </c>
      <c r="R59" s="49">
        <v>8</v>
      </c>
      <c r="S59" s="48" t="s">
        <v>1415</v>
      </c>
      <c r="T59" s="60" t="s">
        <v>1381</v>
      </c>
      <c r="U59" s="60" t="s">
        <v>1416</v>
      </c>
      <c r="V59" s="60" t="s">
        <v>2331</v>
      </c>
      <c r="W59" s="61" t="s">
        <v>2332</v>
      </c>
    </row>
    <row r="60" spans="1:23" ht="29.25">
      <c r="A60" s="53">
        <v>59</v>
      </c>
      <c r="B60" s="54" t="s">
        <v>2333</v>
      </c>
      <c r="C60" s="53" t="s">
        <v>11</v>
      </c>
      <c r="D60" s="53" t="s">
        <v>51</v>
      </c>
      <c r="E60" s="55" t="s">
        <v>25</v>
      </c>
      <c r="F60" s="53" t="s">
        <v>44</v>
      </c>
      <c r="G60" s="56" t="s">
        <v>108</v>
      </c>
      <c r="H60" s="56" t="s">
        <v>2334</v>
      </c>
      <c r="I60" s="53" t="s">
        <v>64</v>
      </c>
      <c r="J60" s="53" t="s">
        <v>1711</v>
      </c>
      <c r="K60" s="57" t="s">
        <v>108</v>
      </c>
      <c r="L60" s="56" t="s">
        <v>2335</v>
      </c>
      <c r="M60" s="56" t="s">
        <v>108</v>
      </c>
      <c r="N60" s="58">
        <v>44263</v>
      </c>
      <c r="O60" s="58" t="s">
        <v>108</v>
      </c>
      <c r="P60" s="53" t="s">
        <v>108</v>
      </c>
      <c r="Q60" s="59" t="s">
        <v>2336</v>
      </c>
      <c r="R60" s="49">
        <v>16</v>
      </c>
      <c r="S60" s="48" t="s">
        <v>1380</v>
      </c>
      <c r="T60" s="60" t="s">
        <v>1381</v>
      </c>
      <c r="U60" s="60" t="s">
        <v>1382</v>
      </c>
      <c r="V60" s="60" t="s">
        <v>1407</v>
      </c>
      <c r="W60" s="61" t="s">
        <v>1872</v>
      </c>
    </row>
    <row r="61" spans="1:23" ht="29.25">
      <c r="A61" s="53">
        <v>60</v>
      </c>
      <c r="B61" s="54" t="s">
        <v>2337</v>
      </c>
      <c r="C61" s="53" t="s">
        <v>2338</v>
      </c>
      <c r="D61" s="53" t="s">
        <v>51</v>
      </c>
      <c r="E61" s="55" t="s">
        <v>25</v>
      </c>
      <c r="F61" s="53" t="s">
        <v>44</v>
      </c>
      <c r="G61" s="56" t="s">
        <v>108</v>
      </c>
      <c r="H61" s="56" t="s">
        <v>2339</v>
      </c>
      <c r="I61" s="53" t="s">
        <v>1386</v>
      </c>
      <c r="J61" s="53" t="s">
        <v>2340</v>
      </c>
      <c r="K61" s="57" t="s">
        <v>108</v>
      </c>
      <c r="L61" s="56" t="s">
        <v>2341</v>
      </c>
      <c r="M61" s="56" t="s">
        <v>108</v>
      </c>
      <c r="N61" s="58">
        <v>43012</v>
      </c>
      <c r="O61" s="58" t="s">
        <v>108</v>
      </c>
      <c r="P61" s="53" t="s">
        <v>108</v>
      </c>
      <c r="Q61" s="59" t="s">
        <v>2342</v>
      </c>
      <c r="R61" s="49">
        <v>16</v>
      </c>
      <c r="S61" s="48" t="s">
        <v>1415</v>
      </c>
      <c r="T61" s="60" t="s">
        <v>1381</v>
      </c>
      <c r="U61" s="60" t="s">
        <v>1382</v>
      </c>
      <c r="V61" s="60" t="s">
        <v>1392</v>
      </c>
      <c r="W61" s="61" t="s">
        <v>2343</v>
      </c>
    </row>
    <row r="62" spans="1:23" ht="29.25">
      <c r="A62" s="53">
        <v>61</v>
      </c>
      <c r="B62" s="54" t="s">
        <v>1867</v>
      </c>
      <c r="C62" s="53" t="s">
        <v>2344</v>
      </c>
      <c r="D62" s="53" t="s">
        <v>51</v>
      </c>
      <c r="E62" s="55" t="s">
        <v>25</v>
      </c>
      <c r="F62" s="53" t="s">
        <v>44</v>
      </c>
      <c r="G62" s="56" t="s">
        <v>108</v>
      </c>
      <c r="H62" s="56" t="s">
        <v>1685</v>
      </c>
      <c r="I62" s="53" t="s">
        <v>64</v>
      </c>
      <c r="J62" s="53" t="s">
        <v>1869</v>
      </c>
      <c r="K62" s="57" t="s">
        <v>108</v>
      </c>
      <c r="L62" s="56" t="s">
        <v>2345</v>
      </c>
      <c r="M62" s="56" t="s">
        <v>108</v>
      </c>
      <c r="N62" s="58">
        <v>43613</v>
      </c>
      <c r="O62" s="58" t="s">
        <v>108</v>
      </c>
      <c r="P62" s="53" t="s">
        <v>108</v>
      </c>
      <c r="Q62" s="59" t="s">
        <v>2209</v>
      </c>
      <c r="R62" s="49">
        <v>8</v>
      </c>
      <c r="S62" s="48" t="s">
        <v>1415</v>
      </c>
      <c r="T62" s="60" t="s">
        <v>1381</v>
      </c>
      <c r="U62" s="60" t="s">
        <v>1382</v>
      </c>
      <c r="V62" s="60" t="s">
        <v>1555</v>
      </c>
      <c r="W62" s="61" t="s">
        <v>1825</v>
      </c>
    </row>
    <row r="63" spans="1:23" ht="29.25">
      <c r="A63" s="53">
        <v>62</v>
      </c>
      <c r="B63" s="54" t="s">
        <v>2346</v>
      </c>
      <c r="C63" s="53" t="s">
        <v>2347</v>
      </c>
      <c r="D63" s="53" t="s">
        <v>51</v>
      </c>
      <c r="E63" s="55" t="s">
        <v>25</v>
      </c>
      <c r="F63" s="53" t="s">
        <v>44</v>
      </c>
      <c r="G63" s="56" t="s">
        <v>108</v>
      </c>
      <c r="H63" s="56" t="s">
        <v>2030</v>
      </c>
      <c r="I63" s="53" t="s">
        <v>1386</v>
      </c>
      <c r="J63" s="53" t="s">
        <v>1510</v>
      </c>
      <c r="K63" s="57" t="s">
        <v>108</v>
      </c>
      <c r="L63" s="56" t="s">
        <v>2348</v>
      </c>
      <c r="M63" s="56" t="s">
        <v>108</v>
      </c>
      <c r="N63" s="58">
        <v>43099</v>
      </c>
      <c r="O63" s="58" t="s">
        <v>108</v>
      </c>
      <c r="P63" s="53" t="s">
        <v>108</v>
      </c>
      <c r="Q63" s="59" t="s">
        <v>2239</v>
      </c>
      <c r="R63" s="49">
        <v>16</v>
      </c>
      <c r="S63" s="48" t="s">
        <v>1380</v>
      </c>
      <c r="T63" s="60" t="s">
        <v>1498</v>
      </c>
      <c r="U63" s="60" t="s">
        <v>108</v>
      </c>
      <c r="V63" s="60" t="s">
        <v>2349</v>
      </c>
      <c r="W63" s="61" t="s">
        <v>2350</v>
      </c>
    </row>
    <row r="64" spans="1:23" ht="29.25">
      <c r="A64" s="53">
        <v>63</v>
      </c>
      <c r="B64" s="54" t="s">
        <v>2351</v>
      </c>
      <c r="C64" s="53" t="s">
        <v>1495</v>
      </c>
      <c r="D64" s="53" t="s">
        <v>51</v>
      </c>
      <c r="E64" s="55" t="s">
        <v>25</v>
      </c>
      <c r="F64" s="53" t="s">
        <v>44</v>
      </c>
      <c r="G64" s="56" t="s">
        <v>108</v>
      </c>
      <c r="H64" s="56" t="s">
        <v>2352</v>
      </c>
      <c r="I64" s="53" t="s">
        <v>1386</v>
      </c>
      <c r="J64" s="53" t="s">
        <v>1510</v>
      </c>
      <c r="K64" s="57" t="s">
        <v>108</v>
      </c>
      <c r="L64" s="56" t="s">
        <v>2353</v>
      </c>
      <c r="M64" s="56" t="s">
        <v>108</v>
      </c>
      <c r="N64" s="58">
        <v>43041</v>
      </c>
      <c r="O64" s="58" t="s">
        <v>108</v>
      </c>
      <c r="P64" s="53" t="s">
        <v>108</v>
      </c>
      <c r="Q64" s="59" t="s">
        <v>2239</v>
      </c>
      <c r="R64" s="49">
        <v>16</v>
      </c>
      <c r="S64" s="48" t="s">
        <v>1380</v>
      </c>
      <c r="T64" s="60" t="s">
        <v>1498</v>
      </c>
      <c r="U64" s="60" t="s">
        <v>108</v>
      </c>
      <c r="V64" s="60" t="s">
        <v>2349</v>
      </c>
      <c r="W64" s="61" t="s">
        <v>2354</v>
      </c>
    </row>
    <row r="65" spans="1:23">
      <c r="A65" s="53">
        <v>64</v>
      </c>
      <c r="B65" s="54" t="s">
        <v>1867</v>
      </c>
      <c r="C65" s="53" t="s">
        <v>2355</v>
      </c>
      <c r="D65" s="53" t="s">
        <v>51</v>
      </c>
      <c r="E65" s="55" t="s">
        <v>108</v>
      </c>
      <c r="F65" s="53" t="s">
        <v>47</v>
      </c>
      <c r="G65" s="56" t="s">
        <v>108</v>
      </c>
      <c r="H65" s="56" t="s">
        <v>108</v>
      </c>
      <c r="I65" s="53" t="s">
        <v>64</v>
      </c>
      <c r="J65" s="53" t="s">
        <v>1711</v>
      </c>
      <c r="K65" s="57" t="s">
        <v>108</v>
      </c>
      <c r="L65" s="56" t="s">
        <v>2356</v>
      </c>
      <c r="M65" s="56" t="s">
        <v>108</v>
      </c>
      <c r="N65" s="58" t="s">
        <v>108</v>
      </c>
      <c r="O65" s="58" t="s">
        <v>108</v>
      </c>
      <c r="P65" s="53" t="s">
        <v>108</v>
      </c>
      <c r="Q65" s="59" t="s">
        <v>2336</v>
      </c>
      <c r="R65" s="49">
        <v>16</v>
      </c>
      <c r="S65" s="48" t="s">
        <v>1380</v>
      </c>
      <c r="T65" s="60" t="s">
        <v>1381</v>
      </c>
      <c r="U65" s="60" t="s">
        <v>108</v>
      </c>
      <c r="V65" s="60" t="s">
        <v>1407</v>
      </c>
      <c r="W65" s="61" t="s">
        <v>2357</v>
      </c>
    </row>
    <row r="66" spans="1:23">
      <c r="A66" s="53">
        <v>65</v>
      </c>
      <c r="B66" s="54" t="s">
        <v>2066</v>
      </c>
      <c r="C66" s="53" t="s">
        <v>152</v>
      </c>
      <c r="D66" s="53" t="s">
        <v>51</v>
      </c>
      <c r="E66" s="55" t="s">
        <v>21</v>
      </c>
      <c r="F66" s="53" t="s">
        <v>47</v>
      </c>
      <c r="G66" s="56" t="s">
        <v>108</v>
      </c>
      <c r="H66" s="56" t="s">
        <v>108</v>
      </c>
      <c r="I66" s="53" t="s">
        <v>64</v>
      </c>
      <c r="J66" s="53" t="s">
        <v>1541</v>
      </c>
      <c r="K66" s="57" t="s">
        <v>108</v>
      </c>
      <c r="L66" s="56" t="s">
        <v>2068</v>
      </c>
      <c r="M66" s="56" t="s">
        <v>108</v>
      </c>
      <c r="N66" s="58" t="s">
        <v>108</v>
      </c>
      <c r="O66" s="58" t="s">
        <v>108</v>
      </c>
      <c r="P66" s="53" t="s">
        <v>108</v>
      </c>
      <c r="Q66" s="59" t="s">
        <v>2358</v>
      </c>
      <c r="R66" s="49">
        <v>16</v>
      </c>
      <c r="S66" s="48" t="s">
        <v>1415</v>
      </c>
      <c r="T66" s="60" t="s">
        <v>1498</v>
      </c>
      <c r="U66" s="60" t="s">
        <v>108</v>
      </c>
      <c r="V66" s="60" t="s">
        <v>1474</v>
      </c>
      <c r="W66" s="61" t="s">
        <v>2359</v>
      </c>
    </row>
    <row r="67" spans="1:23">
      <c r="A67" s="53">
        <v>66</v>
      </c>
      <c r="B67" s="54" t="s">
        <v>2360</v>
      </c>
      <c r="C67" s="53" t="s">
        <v>462</v>
      </c>
      <c r="D67" s="53" t="s">
        <v>51</v>
      </c>
      <c r="E67" s="55" t="s">
        <v>27</v>
      </c>
      <c r="F67" s="53" t="s">
        <v>47</v>
      </c>
      <c r="G67" s="56" t="s">
        <v>108</v>
      </c>
      <c r="H67" s="56" t="s">
        <v>108</v>
      </c>
      <c r="I67" s="53" t="s">
        <v>64</v>
      </c>
      <c r="J67" s="53" t="s">
        <v>1523</v>
      </c>
      <c r="K67" s="57" t="s">
        <v>108</v>
      </c>
      <c r="L67" s="56" t="s">
        <v>2361</v>
      </c>
      <c r="M67" s="56" t="s">
        <v>108</v>
      </c>
      <c r="N67" s="58" t="s">
        <v>108</v>
      </c>
      <c r="O67" s="58" t="s">
        <v>108</v>
      </c>
      <c r="P67" s="53" t="s">
        <v>108</v>
      </c>
      <c r="Q67" s="59" t="s">
        <v>2362</v>
      </c>
      <c r="R67" s="49">
        <v>8</v>
      </c>
      <c r="S67" s="48" t="s">
        <v>1415</v>
      </c>
      <c r="T67" s="60" t="s">
        <v>1381</v>
      </c>
      <c r="U67" s="60" t="s">
        <v>108</v>
      </c>
      <c r="V67" s="60" t="s">
        <v>1555</v>
      </c>
      <c r="W67" s="61" t="s">
        <v>2363</v>
      </c>
    </row>
    <row r="68" spans="1:23">
      <c r="A68" s="53">
        <v>67</v>
      </c>
      <c r="B68" s="54" t="s">
        <v>2364</v>
      </c>
      <c r="C68" s="53" t="s">
        <v>549</v>
      </c>
      <c r="D68" s="53" t="s">
        <v>51</v>
      </c>
      <c r="E68" s="55" t="s">
        <v>22</v>
      </c>
      <c r="F68" s="53" t="s">
        <v>47</v>
      </c>
      <c r="G68" s="56" t="s">
        <v>108</v>
      </c>
      <c r="H68" s="56" t="s">
        <v>108</v>
      </c>
      <c r="I68" s="53" t="s">
        <v>64</v>
      </c>
      <c r="J68" s="53" t="s">
        <v>1452</v>
      </c>
      <c r="K68" s="57" t="s">
        <v>108</v>
      </c>
      <c r="L68" s="56" t="s">
        <v>2365</v>
      </c>
      <c r="M68" s="56" t="s">
        <v>108</v>
      </c>
      <c r="N68" s="58" t="s">
        <v>108</v>
      </c>
      <c r="O68" s="58" t="s">
        <v>108</v>
      </c>
      <c r="P68" s="53" t="s">
        <v>108</v>
      </c>
      <c r="Q68" s="59" t="s">
        <v>2366</v>
      </c>
      <c r="R68" s="49">
        <v>16</v>
      </c>
      <c r="S68" s="48" t="s">
        <v>1415</v>
      </c>
      <c r="T68" s="60" t="s">
        <v>1381</v>
      </c>
      <c r="U68" s="60" t="s">
        <v>108</v>
      </c>
      <c r="V68" s="60" t="s">
        <v>1555</v>
      </c>
      <c r="W68" s="61" t="s">
        <v>2367</v>
      </c>
    </row>
    <row r="69" spans="1:23">
      <c r="A69" s="53">
        <v>120</v>
      </c>
      <c r="B69" s="54" t="s">
        <v>108</v>
      </c>
      <c r="C69" s="53" t="s">
        <v>701</v>
      </c>
      <c r="D69" s="53" t="s">
        <v>14</v>
      </c>
      <c r="E69" s="55" t="s">
        <v>22</v>
      </c>
      <c r="F69" s="53" t="s">
        <v>47</v>
      </c>
      <c r="G69" s="53">
        <v>981585173</v>
      </c>
      <c r="H69" s="56" t="s">
        <v>108</v>
      </c>
      <c r="I69" s="56" t="s">
        <v>1160</v>
      </c>
      <c r="J69" s="56" t="s">
        <v>1210</v>
      </c>
      <c r="K69" s="53">
        <v>358055380576365</v>
      </c>
      <c r="L69" s="53" t="s">
        <v>2205</v>
      </c>
      <c r="M69" s="56" t="s">
        <v>108</v>
      </c>
      <c r="N69" s="58">
        <v>45301</v>
      </c>
      <c r="O69" s="53">
        <v>45943</v>
      </c>
      <c r="P69" s="53" t="s">
        <v>108</v>
      </c>
      <c r="Q69" s="59" t="s">
        <v>108</v>
      </c>
      <c r="R69" s="49" t="s">
        <v>108</v>
      </c>
      <c r="S69" s="48" t="s">
        <v>108</v>
      </c>
      <c r="T69" s="60" t="s">
        <v>108</v>
      </c>
      <c r="U69" s="60" t="s">
        <v>108</v>
      </c>
      <c r="V69" s="60" t="s">
        <v>108</v>
      </c>
      <c r="W69" s="61" t="s">
        <v>108</v>
      </c>
    </row>
    <row r="70" spans="1:23">
      <c r="A70" s="53">
        <v>5</v>
      </c>
      <c r="B70" s="54" t="s">
        <v>108</v>
      </c>
      <c r="C70" s="53" t="s">
        <v>123</v>
      </c>
      <c r="D70" s="53" t="s">
        <v>14</v>
      </c>
      <c r="E70" s="55" t="s">
        <v>27</v>
      </c>
      <c r="F70" s="62" t="s">
        <v>47</v>
      </c>
      <c r="G70" s="53">
        <v>905433805</v>
      </c>
      <c r="H70" s="62" t="s">
        <v>108</v>
      </c>
      <c r="I70" s="62" t="s">
        <v>1160</v>
      </c>
      <c r="J70" s="63" t="s">
        <v>1229</v>
      </c>
      <c r="K70" s="63">
        <v>351456832075765</v>
      </c>
      <c r="L70" s="63" t="s">
        <v>1230</v>
      </c>
      <c r="M70" s="62" t="s">
        <v>1214</v>
      </c>
      <c r="N70" s="62">
        <v>45673</v>
      </c>
      <c r="O70" s="62">
        <v>45946</v>
      </c>
      <c r="P70" s="64" t="s">
        <v>108</v>
      </c>
      <c r="Q70" s="62" t="s">
        <v>108</v>
      </c>
      <c r="R70" s="62" t="s">
        <v>108</v>
      </c>
      <c r="S70" s="62" t="s">
        <v>108</v>
      </c>
      <c r="T70" s="62" t="s">
        <v>108</v>
      </c>
      <c r="U70" s="48" t="s">
        <v>108</v>
      </c>
      <c r="V70" s="60" t="s">
        <v>108</v>
      </c>
      <c r="W70" s="61" t="s">
        <v>108</v>
      </c>
    </row>
    <row r="71" spans="1:23">
      <c r="A71" s="67">
        <v>68</v>
      </c>
      <c r="B71" s="62" t="s">
        <v>2368</v>
      </c>
      <c r="C71" s="68" t="s">
        <v>754</v>
      </c>
      <c r="D71" s="62" t="s">
        <v>51</v>
      </c>
      <c r="E71" s="68" t="s">
        <v>27</v>
      </c>
      <c r="F71" s="62" t="s">
        <v>44</v>
      </c>
      <c r="G71" s="2" t="s">
        <v>108</v>
      </c>
      <c r="H71" s="62" t="s">
        <v>2369</v>
      </c>
      <c r="I71" s="62" t="s">
        <v>1386</v>
      </c>
      <c r="J71" s="62" t="s">
        <v>2370</v>
      </c>
      <c r="K71" s="2" t="s">
        <v>108</v>
      </c>
      <c r="L71" s="62" t="s">
        <v>2371</v>
      </c>
      <c r="M71" s="2" t="s">
        <v>108</v>
      </c>
      <c r="N71" s="69" t="s">
        <v>2372</v>
      </c>
      <c r="O71" s="70">
        <v>43649</v>
      </c>
      <c r="P71" s="69" t="s">
        <v>108</v>
      </c>
      <c r="Q71" s="62" t="s">
        <v>2373</v>
      </c>
      <c r="R71" s="62">
        <v>12</v>
      </c>
      <c r="S71" s="69" t="s">
        <v>1415</v>
      </c>
      <c r="T71" s="62" t="s">
        <v>1381</v>
      </c>
      <c r="U71" s="62" t="s">
        <v>1382</v>
      </c>
      <c r="V71" s="62" t="s">
        <v>1851</v>
      </c>
      <c r="W71" s="62" t="s">
        <v>2374</v>
      </c>
    </row>
    <row r="72" spans="1:23" ht="29.25">
      <c r="A72" s="67">
        <v>69</v>
      </c>
      <c r="B72" s="62" t="s">
        <v>2375</v>
      </c>
      <c r="C72" s="68" t="s">
        <v>2376</v>
      </c>
      <c r="D72" s="62" t="s">
        <v>51</v>
      </c>
      <c r="E72" s="68" t="s">
        <v>25</v>
      </c>
      <c r="F72" s="62" t="s">
        <v>44</v>
      </c>
      <c r="G72" s="2" t="s">
        <v>108</v>
      </c>
      <c r="H72" s="62" t="s">
        <v>2377</v>
      </c>
      <c r="I72" s="62" t="s">
        <v>1386</v>
      </c>
      <c r="J72" s="62" t="s">
        <v>2378</v>
      </c>
      <c r="K72" s="2" t="s">
        <v>108</v>
      </c>
      <c r="L72" s="62" t="s">
        <v>2379</v>
      </c>
      <c r="M72" s="2" t="s">
        <v>108</v>
      </c>
      <c r="N72" s="69" t="s">
        <v>2380</v>
      </c>
      <c r="O72" s="70" t="s">
        <v>2381</v>
      </c>
      <c r="P72" s="62" t="s">
        <v>108</v>
      </c>
      <c r="Q72" s="62" t="s">
        <v>2315</v>
      </c>
      <c r="R72" s="62">
        <v>12</v>
      </c>
      <c r="S72" s="62" t="s">
        <v>1380</v>
      </c>
      <c r="T72" s="62" t="s">
        <v>1381</v>
      </c>
      <c r="U72" s="62" t="s">
        <v>1382</v>
      </c>
      <c r="V72" s="62" t="s">
        <v>1519</v>
      </c>
      <c r="W72" s="62" t="s">
        <v>2382</v>
      </c>
    </row>
    <row r="73" spans="1:23">
      <c r="A73" s="67">
        <v>70</v>
      </c>
      <c r="B73" s="62" t="s">
        <v>2383</v>
      </c>
      <c r="C73" s="68" t="s">
        <v>230</v>
      </c>
      <c r="D73" s="62" t="s">
        <v>51</v>
      </c>
      <c r="E73" s="68" t="s">
        <v>27</v>
      </c>
      <c r="F73" s="62" t="s">
        <v>44</v>
      </c>
      <c r="G73" s="2" t="s">
        <v>108</v>
      </c>
      <c r="H73" s="62" t="s">
        <v>2384</v>
      </c>
      <c r="I73" s="62" t="s">
        <v>64</v>
      </c>
      <c r="J73" s="62" t="s">
        <v>1541</v>
      </c>
      <c r="K73" s="2" t="s">
        <v>108</v>
      </c>
      <c r="L73" s="62" t="s">
        <v>2385</v>
      </c>
      <c r="M73" s="2" t="s">
        <v>108</v>
      </c>
      <c r="N73" s="69" t="s">
        <v>2386</v>
      </c>
      <c r="O73" s="70">
        <v>45941</v>
      </c>
      <c r="P73" s="62" t="s">
        <v>108</v>
      </c>
      <c r="Q73" s="62" t="s">
        <v>2387</v>
      </c>
      <c r="R73" s="62">
        <v>16</v>
      </c>
      <c r="S73" s="62" t="s">
        <v>1415</v>
      </c>
      <c r="T73" s="62" t="s">
        <v>1381</v>
      </c>
      <c r="U73" s="62" t="s">
        <v>1382</v>
      </c>
      <c r="V73" s="62" t="s">
        <v>1544</v>
      </c>
      <c r="W73" s="62" t="s">
        <v>2388</v>
      </c>
    </row>
    <row r="74" spans="1:23">
      <c r="A74" s="67">
        <v>71</v>
      </c>
      <c r="B74" s="62" t="s">
        <v>2389</v>
      </c>
      <c r="C74" s="68" t="s">
        <v>553</v>
      </c>
      <c r="D74" s="62" t="s">
        <v>51</v>
      </c>
      <c r="E74" s="68" t="s">
        <v>27</v>
      </c>
      <c r="F74" s="62" t="s">
        <v>44</v>
      </c>
      <c r="G74" s="2" t="s">
        <v>108</v>
      </c>
      <c r="H74" s="62" t="s">
        <v>2390</v>
      </c>
      <c r="I74" s="62" t="s">
        <v>1502</v>
      </c>
      <c r="J74" s="62" t="s">
        <v>2391</v>
      </c>
      <c r="K74" s="2" t="s">
        <v>108</v>
      </c>
      <c r="L74" s="62" t="s">
        <v>2392</v>
      </c>
      <c r="M74" s="2" t="s">
        <v>108</v>
      </c>
      <c r="N74" s="69">
        <v>44350</v>
      </c>
      <c r="O74" s="70" t="s">
        <v>2393</v>
      </c>
      <c r="P74" s="62" t="s">
        <v>108</v>
      </c>
      <c r="Q74" s="62" t="s">
        <v>2336</v>
      </c>
      <c r="R74" s="62">
        <v>12</v>
      </c>
      <c r="S74" s="62" t="s">
        <v>1415</v>
      </c>
      <c r="T74" s="62" t="s">
        <v>1381</v>
      </c>
      <c r="U74" s="62" t="s">
        <v>1416</v>
      </c>
      <c r="V74" s="62"/>
      <c r="W74" s="62"/>
    </row>
    <row r="75" spans="1:23">
      <c r="A75" s="67">
        <v>72</v>
      </c>
      <c r="B75" s="62" t="s">
        <v>1867</v>
      </c>
      <c r="C75" s="68" t="s">
        <v>2394</v>
      </c>
      <c r="D75" s="62" t="s">
        <v>51</v>
      </c>
      <c r="E75" s="68" t="s">
        <v>24</v>
      </c>
      <c r="F75" s="62" t="s">
        <v>44</v>
      </c>
      <c r="G75" s="2" t="s">
        <v>108</v>
      </c>
      <c r="H75" s="62" t="s">
        <v>2285</v>
      </c>
      <c r="I75" s="62" t="s">
        <v>64</v>
      </c>
      <c r="J75" s="62" t="s">
        <v>1869</v>
      </c>
      <c r="K75" s="2" t="s">
        <v>108</v>
      </c>
      <c r="L75" s="62" t="s">
        <v>2395</v>
      </c>
      <c r="M75" s="2" t="s">
        <v>108</v>
      </c>
      <c r="N75" s="69" t="s">
        <v>2380</v>
      </c>
      <c r="O75" s="70">
        <v>45717</v>
      </c>
      <c r="P75" s="62" t="s">
        <v>108</v>
      </c>
      <c r="Q75" s="62" t="s">
        <v>2396</v>
      </c>
      <c r="R75" s="62">
        <v>8</v>
      </c>
      <c r="S75" s="62" t="s">
        <v>1415</v>
      </c>
      <c r="T75" s="62" t="s">
        <v>1381</v>
      </c>
      <c r="U75" s="62" t="s">
        <v>1416</v>
      </c>
      <c r="V75" s="62"/>
      <c r="W75" s="62"/>
    </row>
    <row r="76" spans="1:23">
      <c r="A76" s="67">
        <v>97</v>
      </c>
      <c r="B76" s="62" t="s">
        <v>108</v>
      </c>
      <c r="C76" s="62" t="s">
        <v>602</v>
      </c>
      <c r="D76" s="62" t="s">
        <v>14</v>
      </c>
      <c r="E76" s="68" t="s">
        <v>27</v>
      </c>
      <c r="F76" s="62" t="s">
        <v>46</v>
      </c>
      <c r="G76" s="62">
        <v>973181946</v>
      </c>
      <c r="H76" s="62" t="s">
        <v>108</v>
      </c>
      <c r="I76" s="2" t="s">
        <v>1160</v>
      </c>
      <c r="J76" s="62" t="s">
        <v>1179</v>
      </c>
      <c r="K76" s="71">
        <v>359104251096142</v>
      </c>
      <c r="L76" s="62" t="s">
        <v>2397</v>
      </c>
      <c r="M76" s="2" t="s">
        <v>108</v>
      </c>
      <c r="N76" s="70">
        <v>45574</v>
      </c>
      <c r="O76" s="70">
        <v>45586</v>
      </c>
      <c r="P76" s="62" t="s">
        <v>108</v>
      </c>
      <c r="Q76" s="62" t="s">
        <v>108</v>
      </c>
      <c r="R76" s="62" t="s">
        <v>108</v>
      </c>
      <c r="S76" s="62" t="s">
        <v>108</v>
      </c>
      <c r="T76" s="62" t="s">
        <v>108</v>
      </c>
      <c r="U76" s="62" t="s">
        <v>108</v>
      </c>
      <c r="V76" s="62" t="s">
        <v>108</v>
      </c>
      <c r="W76" s="62" t="s">
        <v>108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FA0B6-D2E6-4759-ADC9-260E937FE004}">
  <dimension ref="A1:H28"/>
  <sheetViews>
    <sheetView workbookViewId="0">
      <selection activeCell="G4" sqref="G4"/>
    </sheetView>
  </sheetViews>
  <sheetFormatPr defaultColWidth="11.42578125" defaultRowHeight="15"/>
  <cols>
    <col min="1" max="1" width="14.7109375" customWidth="1"/>
    <col min="2" max="2" width="9.7109375" customWidth="1"/>
    <col min="3" max="3" width="41.42578125" customWidth="1"/>
    <col min="4" max="4" width="13.42578125" bestFit="1" customWidth="1"/>
    <col min="5" max="5" width="60.42578125" customWidth="1"/>
    <col min="6" max="6" width="16.140625" customWidth="1"/>
    <col min="7" max="7" width="24.140625" style="4" bestFit="1" customWidth="1"/>
    <col min="8" max="8" width="21.140625" customWidth="1"/>
  </cols>
  <sheetData>
    <row r="1" spans="1:8" s="5" customFormat="1" ht="43.5" customHeight="1">
      <c r="A1" s="20" t="s">
        <v>1144</v>
      </c>
      <c r="B1" s="20" t="s">
        <v>1146</v>
      </c>
      <c r="C1" s="20" t="s">
        <v>1147</v>
      </c>
      <c r="D1" s="20" t="s">
        <v>1362</v>
      </c>
      <c r="E1" s="20" t="s">
        <v>9</v>
      </c>
      <c r="F1" s="20" t="s">
        <v>2398</v>
      </c>
      <c r="G1" s="20" t="s">
        <v>2399</v>
      </c>
      <c r="H1" s="20" t="s">
        <v>86</v>
      </c>
    </row>
    <row r="2" spans="1:8">
      <c r="A2" s="2" t="s">
        <v>57</v>
      </c>
      <c r="B2" s="2" t="s">
        <v>64</v>
      </c>
      <c r="C2" s="2" t="s">
        <v>2400</v>
      </c>
      <c r="D2" s="2" t="s">
        <v>2401</v>
      </c>
      <c r="E2" s="2" t="s">
        <v>2402</v>
      </c>
      <c r="F2" s="2" t="s">
        <v>108</v>
      </c>
      <c r="G2" s="5" t="s">
        <v>58</v>
      </c>
      <c r="H2" s="2" t="s">
        <v>53</v>
      </c>
    </row>
    <row r="3" spans="1:8">
      <c r="A3" s="2" t="s">
        <v>57</v>
      </c>
      <c r="B3" s="2" t="s">
        <v>64</v>
      </c>
      <c r="C3" s="2" t="s">
        <v>2403</v>
      </c>
      <c r="D3" s="2" t="s">
        <v>2404</v>
      </c>
      <c r="E3" s="2" t="s">
        <v>40</v>
      </c>
      <c r="F3" s="2" t="s">
        <v>108</v>
      </c>
      <c r="G3" s="5" t="s">
        <v>58</v>
      </c>
      <c r="H3" s="2" t="s">
        <v>53</v>
      </c>
    </row>
    <row r="4" spans="1:8" ht="29.25">
      <c r="A4" s="2" t="s">
        <v>57</v>
      </c>
      <c r="B4" s="2" t="s">
        <v>63</v>
      </c>
      <c r="C4" s="2" t="s">
        <v>2405</v>
      </c>
      <c r="D4" s="2" t="s">
        <v>2406</v>
      </c>
      <c r="E4" s="2" t="s">
        <v>2407</v>
      </c>
      <c r="F4" s="2" t="s">
        <v>108</v>
      </c>
      <c r="G4" s="5" t="s">
        <v>59</v>
      </c>
      <c r="H4" s="2" t="s">
        <v>107</v>
      </c>
    </row>
    <row r="5" spans="1:8">
      <c r="A5" s="2" t="s">
        <v>57</v>
      </c>
      <c r="B5" s="2" t="s">
        <v>63</v>
      </c>
      <c r="C5" s="2" t="s">
        <v>2405</v>
      </c>
      <c r="D5" s="2" t="s">
        <v>2408</v>
      </c>
      <c r="E5" s="2" t="s">
        <v>2407</v>
      </c>
      <c r="F5" s="2" t="s">
        <v>108</v>
      </c>
      <c r="G5" s="5" t="s">
        <v>58</v>
      </c>
      <c r="H5" s="2" t="s">
        <v>2409</v>
      </c>
    </row>
    <row r="6" spans="1:8" ht="29.25">
      <c r="A6" s="2" t="s">
        <v>57</v>
      </c>
      <c r="B6" s="2" t="s">
        <v>63</v>
      </c>
      <c r="C6" s="2" t="s">
        <v>2405</v>
      </c>
      <c r="D6" s="2" t="s">
        <v>2410</v>
      </c>
      <c r="E6" s="2" t="s">
        <v>2407</v>
      </c>
      <c r="F6" s="2" t="s">
        <v>108</v>
      </c>
      <c r="G6" s="5" t="s">
        <v>60</v>
      </c>
      <c r="H6" s="2" t="s">
        <v>107</v>
      </c>
    </row>
    <row r="7" spans="1:8">
      <c r="A7" s="2" t="s">
        <v>57</v>
      </c>
      <c r="B7" s="2" t="s">
        <v>65</v>
      </c>
      <c r="C7" s="2" t="s">
        <v>2411</v>
      </c>
      <c r="D7" s="2" t="s">
        <v>2412</v>
      </c>
      <c r="E7" s="2" t="s">
        <v>2413</v>
      </c>
      <c r="F7" s="2" t="s">
        <v>2414</v>
      </c>
      <c r="G7" s="5" t="s">
        <v>58</v>
      </c>
      <c r="H7" s="2" t="s">
        <v>107</v>
      </c>
    </row>
    <row r="8" spans="1:8" ht="29.25">
      <c r="A8" s="2" t="s">
        <v>57</v>
      </c>
      <c r="B8" s="2" t="s">
        <v>65</v>
      </c>
      <c r="C8" s="2" t="s">
        <v>2411</v>
      </c>
      <c r="D8" s="2" t="s">
        <v>2415</v>
      </c>
      <c r="E8" s="2" t="s">
        <v>2416</v>
      </c>
      <c r="F8" s="2" t="s">
        <v>2417</v>
      </c>
      <c r="G8" s="5" t="s">
        <v>25</v>
      </c>
      <c r="H8" s="2" t="s">
        <v>107</v>
      </c>
    </row>
    <row r="9" spans="1:8" ht="29.25">
      <c r="A9" s="2" t="s">
        <v>57</v>
      </c>
      <c r="B9" s="2" t="s">
        <v>65</v>
      </c>
      <c r="C9" s="2" t="s">
        <v>2418</v>
      </c>
      <c r="D9" s="2" t="s">
        <v>2419</v>
      </c>
      <c r="E9" s="2" t="s">
        <v>2420</v>
      </c>
      <c r="F9" s="2" t="s">
        <v>2421</v>
      </c>
      <c r="G9" s="5" t="s">
        <v>25</v>
      </c>
      <c r="H9" s="2" t="s">
        <v>107</v>
      </c>
    </row>
    <row r="10" spans="1:8" ht="29.25">
      <c r="A10" s="2" t="s">
        <v>57</v>
      </c>
      <c r="B10" s="2" t="s">
        <v>63</v>
      </c>
      <c r="C10" s="2" t="s">
        <v>2422</v>
      </c>
      <c r="D10" s="2" t="s">
        <v>2423</v>
      </c>
      <c r="E10" s="2" t="s">
        <v>2420</v>
      </c>
      <c r="F10" s="2" t="s">
        <v>108</v>
      </c>
      <c r="G10" s="5" t="s">
        <v>25</v>
      </c>
      <c r="H10" s="2" t="s">
        <v>107</v>
      </c>
    </row>
    <row r="11" spans="1:8" ht="29.25">
      <c r="A11" s="2" t="s">
        <v>57</v>
      </c>
      <c r="B11" s="2" t="s">
        <v>66</v>
      </c>
      <c r="C11" s="2" t="s">
        <v>2424</v>
      </c>
      <c r="D11" s="2" t="s">
        <v>2425</v>
      </c>
      <c r="E11" s="2" t="s">
        <v>2426</v>
      </c>
      <c r="F11" s="2" t="s">
        <v>2427</v>
      </c>
      <c r="G11" s="5" t="s">
        <v>25</v>
      </c>
      <c r="H11" s="2" t="s">
        <v>107</v>
      </c>
    </row>
    <row r="12" spans="1:8" ht="29.25">
      <c r="A12" s="2" t="s">
        <v>57</v>
      </c>
      <c r="B12" s="2" t="s">
        <v>66</v>
      </c>
      <c r="C12" s="2" t="s">
        <v>2428</v>
      </c>
      <c r="D12" s="2" t="s">
        <v>2429</v>
      </c>
      <c r="E12" s="2" t="s">
        <v>2430</v>
      </c>
      <c r="F12" s="2" t="s">
        <v>2431</v>
      </c>
      <c r="G12" s="5" t="s">
        <v>25</v>
      </c>
      <c r="H12" s="2" t="s">
        <v>107</v>
      </c>
    </row>
    <row r="13" spans="1:8" ht="29.25">
      <c r="A13" s="2" t="s">
        <v>57</v>
      </c>
      <c r="B13" s="2" t="s">
        <v>66</v>
      </c>
      <c r="C13" s="2" t="s">
        <v>2432</v>
      </c>
      <c r="D13" s="2" t="s">
        <v>2433</v>
      </c>
      <c r="E13" s="2" t="s">
        <v>2434</v>
      </c>
      <c r="F13" s="2" t="s">
        <v>2435</v>
      </c>
      <c r="G13" s="5" t="s">
        <v>25</v>
      </c>
      <c r="H13" s="2" t="s">
        <v>107</v>
      </c>
    </row>
    <row r="14" spans="1:8" ht="29.25">
      <c r="A14" s="2" t="s">
        <v>57</v>
      </c>
      <c r="B14" s="2" t="s">
        <v>66</v>
      </c>
      <c r="C14" s="2" t="s">
        <v>2436</v>
      </c>
      <c r="D14" s="2" t="s">
        <v>2437</v>
      </c>
      <c r="E14" s="2" t="s">
        <v>2438</v>
      </c>
      <c r="F14" s="2" t="s">
        <v>2439</v>
      </c>
      <c r="G14" s="5" t="s">
        <v>25</v>
      </c>
      <c r="H14" s="2" t="s">
        <v>107</v>
      </c>
    </row>
    <row r="15" spans="1:8" ht="29.25">
      <c r="A15" s="2" t="s">
        <v>57</v>
      </c>
      <c r="B15" s="2" t="s">
        <v>66</v>
      </c>
      <c r="C15" s="2" t="s">
        <v>2440</v>
      </c>
      <c r="D15" s="2" t="s">
        <v>2441</v>
      </c>
      <c r="E15" s="2" t="s">
        <v>2442</v>
      </c>
      <c r="F15" s="2" t="s">
        <v>2443</v>
      </c>
      <c r="G15" s="5" t="s">
        <v>25</v>
      </c>
      <c r="H15" s="2" t="s">
        <v>107</v>
      </c>
    </row>
    <row r="16" spans="1:8" ht="29.25">
      <c r="A16" s="2" t="s">
        <v>57</v>
      </c>
      <c r="B16" s="2" t="s">
        <v>66</v>
      </c>
      <c r="C16" s="2" t="s">
        <v>2444</v>
      </c>
      <c r="D16" s="2" t="s">
        <v>2445</v>
      </c>
      <c r="E16" s="2" t="s">
        <v>2446</v>
      </c>
      <c r="F16" s="2" t="s">
        <v>2447</v>
      </c>
      <c r="G16" s="5" t="s">
        <v>25</v>
      </c>
      <c r="H16" s="2" t="s">
        <v>107</v>
      </c>
    </row>
    <row r="17" spans="1:8" ht="29.25">
      <c r="A17" s="2" t="s">
        <v>57</v>
      </c>
      <c r="B17" s="2" t="s">
        <v>66</v>
      </c>
      <c r="C17" s="2" t="s">
        <v>2448</v>
      </c>
      <c r="D17" s="2" t="s">
        <v>2449</v>
      </c>
      <c r="E17" s="2" t="s">
        <v>2450</v>
      </c>
      <c r="F17" s="2" t="s">
        <v>2451</v>
      </c>
      <c r="G17" s="5" t="s">
        <v>25</v>
      </c>
      <c r="H17" s="2" t="s">
        <v>107</v>
      </c>
    </row>
    <row r="18" spans="1:8" ht="29.25">
      <c r="A18" s="2" t="s">
        <v>57</v>
      </c>
      <c r="B18" s="2" t="s">
        <v>66</v>
      </c>
      <c r="C18" s="2" t="s">
        <v>2452</v>
      </c>
      <c r="D18" s="2" t="s">
        <v>2453</v>
      </c>
      <c r="E18" s="2" t="s">
        <v>2454</v>
      </c>
      <c r="F18" s="2" t="s">
        <v>2455</v>
      </c>
      <c r="G18" s="5" t="s">
        <v>25</v>
      </c>
      <c r="H18" s="2" t="s">
        <v>107</v>
      </c>
    </row>
    <row r="19" spans="1:8" ht="29.25">
      <c r="A19" s="2" t="s">
        <v>57</v>
      </c>
      <c r="B19" s="2" t="s">
        <v>66</v>
      </c>
      <c r="C19" s="2" t="s">
        <v>2456</v>
      </c>
      <c r="D19" s="2" t="s">
        <v>2457</v>
      </c>
      <c r="E19" s="2" t="s">
        <v>2458</v>
      </c>
      <c r="F19" s="2" t="s">
        <v>2459</v>
      </c>
      <c r="G19" s="5" t="s">
        <v>25</v>
      </c>
      <c r="H19" s="2" t="s">
        <v>107</v>
      </c>
    </row>
    <row r="20" spans="1:8" ht="29.25">
      <c r="A20" s="2" t="s">
        <v>57</v>
      </c>
      <c r="B20" s="2" t="s">
        <v>66</v>
      </c>
      <c r="C20" s="2" t="s">
        <v>2460</v>
      </c>
      <c r="D20" s="2" t="s">
        <v>2461</v>
      </c>
      <c r="E20" s="2" t="s">
        <v>2462</v>
      </c>
      <c r="F20" s="2" t="s">
        <v>2463</v>
      </c>
      <c r="G20" s="5" t="s">
        <v>25</v>
      </c>
      <c r="H20" s="2" t="s">
        <v>107</v>
      </c>
    </row>
    <row r="21" spans="1:8" ht="29.25">
      <c r="A21" s="2" t="s">
        <v>57</v>
      </c>
      <c r="B21" s="2" t="s">
        <v>66</v>
      </c>
      <c r="C21" s="2" t="s">
        <v>2432</v>
      </c>
      <c r="D21" s="2" t="s">
        <v>2464</v>
      </c>
      <c r="E21" s="2" t="s">
        <v>2465</v>
      </c>
      <c r="F21" s="2" t="s">
        <v>2466</v>
      </c>
      <c r="G21" s="5" t="s">
        <v>25</v>
      </c>
      <c r="H21" s="2" t="s">
        <v>107</v>
      </c>
    </row>
    <row r="22" spans="1:8" ht="29.25">
      <c r="A22" s="2" t="s">
        <v>57</v>
      </c>
      <c r="B22" s="2" t="s">
        <v>64</v>
      </c>
      <c r="C22" s="2" t="s">
        <v>2467</v>
      </c>
      <c r="D22" s="2" t="s">
        <v>2468</v>
      </c>
      <c r="E22" s="2" t="s">
        <v>2416</v>
      </c>
      <c r="F22" s="2" t="s">
        <v>108</v>
      </c>
      <c r="G22" s="5" t="s">
        <v>25</v>
      </c>
      <c r="H22" s="2" t="s">
        <v>107</v>
      </c>
    </row>
    <row r="23" spans="1:8" ht="29.25">
      <c r="A23" s="2" t="s">
        <v>57</v>
      </c>
      <c r="B23" s="2" t="s">
        <v>66</v>
      </c>
      <c r="C23" s="2" t="s">
        <v>2469</v>
      </c>
      <c r="D23" s="2" t="s">
        <v>2470</v>
      </c>
      <c r="E23" s="2" t="s">
        <v>2420</v>
      </c>
      <c r="F23" s="2" t="s">
        <v>108</v>
      </c>
      <c r="G23" s="5" t="s">
        <v>25</v>
      </c>
      <c r="H23" s="2" t="s">
        <v>107</v>
      </c>
    </row>
    <row r="24" spans="1:8" ht="29.25">
      <c r="A24" s="2" t="s">
        <v>56</v>
      </c>
      <c r="B24" s="2" t="s">
        <v>62</v>
      </c>
      <c r="C24" s="2" t="s">
        <v>2471</v>
      </c>
      <c r="D24" s="2" t="s">
        <v>2472</v>
      </c>
      <c r="E24" s="2" t="s">
        <v>2473</v>
      </c>
      <c r="F24" s="2" t="s">
        <v>108</v>
      </c>
      <c r="G24" s="5" t="s">
        <v>25</v>
      </c>
      <c r="H24" s="2" t="s">
        <v>107</v>
      </c>
    </row>
    <row r="25" spans="1:8" ht="29.25">
      <c r="A25" s="2" t="s">
        <v>56</v>
      </c>
      <c r="B25" s="2" t="s">
        <v>62</v>
      </c>
      <c r="C25" s="2" t="s">
        <v>2471</v>
      </c>
      <c r="D25" s="2" t="s">
        <v>2474</v>
      </c>
      <c r="E25" s="2" t="s">
        <v>2475</v>
      </c>
      <c r="F25" s="2" t="s">
        <v>108</v>
      </c>
      <c r="G25" s="5" t="s">
        <v>25</v>
      </c>
      <c r="H25" s="2" t="s">
        <v>107</v>
      </c>
    </row>
    <row r="26" spans="1:8">
      <c r="A26" s="2" t="s">
        <v>56</v>
      </c>
      <c r="B26" s="2" t="s">
        <v>62</v>
      </c>
      <c r="C26" s="2" t="s">
        <v>2476</v>
      </c>
      <c r="D26" s="2" t="s">
        <v>2476</v>
      </c>
      <c r="E26" s="2" t="s">
        <v>2477</v>
      </c>
      <c r="F26" s="2" t="s">
        <v>108</v>
      </c>
      <c r="G26" s="5" t="s">
        <v>58</v>
      </c>
      <c r="H26" s="2" t="s">
        <v>107</v>
      </c>
    </row>
    <row r="27" spans="1:8" ht="29.25">
      <c r="A27" s="2" t="s">
        <v>57</v>
      </c>
      <c r="B27" s="2" t="s">
        <v>63</v>
      </c>
      <c r="C27" s="2" t="s">
        <v>2478</v>
      </c>
      <c r="D27" s="2" t="s">
        <v>2479</v>
      </c>
      <c r="E27" s="2" t="s">
        <v>2420</v>
      </c>
      <c r="F27" s="2" t="s">
        <v>108</v>
      </c>
      <c r="G27" s="5" t="s">
        <v>25</v>
      </c>
      <c r="H27" s="2" t="s">
        <v>107</v>
      </c>
    </row>
    <row r="28" spans="1:8" ht="29.25">
      <c r="A28" s="2" t="s">
        <v>57</v>
      </c>
      <c r="B28" s="2" t="s">
        <v>63</v>
      </c>
      <c r="C28" s="2" t="s">
        <v>2478</v>
      </c>
      <c r="D28" s="2" t="s">
        <v>2480</v>
      </c>
      <c r="E28" s="2" t="s">
        <v>40</v>
      </c>
      <c r="F28" s="2" t="s">
        <v>2481</v>
      </c>
      <c r="G28" s="5" t="s">
        <v>2482</v>
      </c>
      <c r="H28" s="2" t="s">
        <v>107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21AAD-0981-4AC0-AEB0-2E5FEB9A829E}">
  <dimension ref="A1:H32"/>
  <sheetViews>
    <sheetView topLeftCell="C1" workbookViewId="0">
      <selection activeCell="I12" sqref="I12"/>
    </sheetView>
  </sheetViews>
  <sheetFormatPr defaultColWidth="11.42578125" defaultRowHeight="15"/>
  <cols>
    <col min="1" max="1" width="6.42578125" customWidth="1"/>
    <col min="2" max="2" width="18.28515625" customWidth="1"/>
    <col min="3" max="3" width="46.7109375" customWidth="1"/>
    <col min="4" max="4" width="13.7109375" customWidth="1"/>
    <col min="5" max="5" width="24.140625" bestFit="1" customWidth="1"/>
    <col min="6" max="6" width="20.42578125" bestFit="1" customWidth="1"/>
    <col min="7" max="7" width="20.140625" bestFit="1" customWidth="1"/>
    <col min="8" max="8" width="25.5703125" bestFit="1" customWidth="1"/>
  </cols>
  <sheetData>
    <row r="1" spans="1:8" s="19" customFormat="1" ht="35.25">
      <c r="A1" s="18" t="s">
        <v>82</v>
      </c>
      <c r="B1" s="18" t="s">
        <v>2176</v>
      </c>
      <c r="C1" s="18" t="s">
        <v>48</v>
      </c>
      <c r="D1" s="18" t="s">
        <v>1144</v>
      </c>
      <c r="E1" s="18" t="s">
        <v>87</v>
      </c>
      <c r="F1" s="18" t="s">
        <v>1146</v>
      </c>
      <c r="G1" s="18" t="s">
        <v>1147</v>
      </c>
      <c r="H1" s="18" t="s">
        <v>1362</v>
      </c>
    </row>
    <row r="2" spans="1:8">
      <c r="A2" s="2">
        <v>1</v>
      </c>
      <c r="B2" s="2" t="s">
        <v>108</v>
      </c>
      <c r="C2" s="2" t="s">
        <v>95</v>
      </c>
      <c r="D2" s="2" t="s">
        <v>69</v>
      </c>
      <c r="E2" s="2" t="s">
        <v>24</v>
      </c>
      <c r="F2" s="2" t="s">
        <v>2483</v>
      </c>
      <c r="G2" s="2" t="s">
        <v>2484</v>
      </c>
      <c r="H2" s="2" t="s">
        <v>2485</v>
      </c>
    </row>
    <row r="3" spans="1:8">
      <c r="A3" s="2">
        <v>3</v>
      </c>
      <c r="B3" s="2" t="s">
        <v>108</v>
      </c>
      <c r="C3" s="2" t="s">
        <v>129</v>
      </c>
      <c r="D3" s="2" t="s">
        <v>69</v>
      </c>
      <c r="E3" s="2" t="s">
        <v>27</v>
      </c>
      <c r="F3" s="2" t="s">
        <v>2483</v>
      </c>
      <c r="G3" s="2" t="s">
        <v>2486</v>
      </c>
      <c r="H3" s="2" t="s">
        <v>2487</v>
      </c>
    </row>
    <row r="4" spans="1:8">
      <c r="A4" s="2">
        <v>4</v>
      </c>
      <c r="B4" s="2" t="s">
        <v>108</v>
      </c>
      <c r="C4" s="2" t="s">
        <v>144</v>
      </c>
      <c r="D4" s="2" t="s">
        <v>69</v>
      </c>
      <c r="E4" s="2" t="s">
        <v>52</v>
      </c>
      <c r="F4" s="2" t="s">
        <v>1160</v>
      </c>
      <c r="G4" s="2" t="s">
        <v>2488</v>
      </c>
      <c r="H4" s="2" t="s">
        <v>2489</v>
      </c>
    </row>
    <row r="5" spans="1:8">
      <c r="A5" s="2">
        <v>5</v>
      </c>
      <c r="B5" s="2" t="s">
        <v>108</v>
      </c>
      <c r="C5" s="2" t="s">
        <v>161</v>
      </c>
      <c r="D5" s="2" t="s">
        <v>69</v>
      </c>
      <c r="E5" s="2" t="s">
        <v>39</v>
      </c>
      <c r="F5" s="2" t="s">
        <v>1502</v>
      </c>
      <c r="G5" s="2" t="s">
        <v>2490</v>
      </c>
      <c r="H5" s="2" t="s">
        <v>2491</v>
      </c>
    </row>
    <row r="6" spans="1:8">
      <c r="A6" s="2">
        <v>6</v>
      </c>
      <c r="B6" s="2" t="s">
        <v>108</v>
      </c>
      <c r="C6" s="2" t="s">
        <v>197</v>
      </c>
      <c r="D6" s="2" t="s">
        <v>69</v>
      </c>
      <c r="E6" s="2" t="s">
        <v>42</v>
      </c>
      <c r="F6" s="2" t="s">
        <v>2492</v>
      </c>
      <c r="G6" s="2" t="s">
        <v>2493</v>
      </c>
      <c r="H6" s="2" t="s">
        <v>2494</v>
      </c>
    </row>
    <row r="7" spans="1:8">
      <c r="A7" s="2">
        <v>7</v>
      </c>
      <c r="B7" s="2" t="s">
        <v>108</v>
      </c>
      <c r="C7" s="2" t="s">
        <v>210</v>
      </c>
      <c r="D7" s="2" t="s">
        <v>69</v>
      </c>
      <c r="E7" s="2" t="s">
        <v>23</v>
      </c>
      <c r="F7" s="2" t="s">
        <v>1160</v>
      </c>
      <c r="G7" s="2" t="s">
        <v>2495</v>
      </c>
      <c r="H7" s="2" t="s">
        <v>2496</v>
      </c>
    </row>
    <row r="8" spans="1:8">
      <c r="A8" s="2">
        <v>8</v>
      </c>
      <c r="B8" s="2" t="s">
        <v>108</v>
      </c>
      <c r="C8" s="2" t="s">
        <v>239</v>
      </c>
      <c r="D8" s="2" t="s">
        <v>69</v>
      </c>
      <c r="E8" s="2" t="s">
        <v>39</v>
      </c>
      <c r="F8" s="2" t="s">
        <v>2483</v>
      </c>
      <c r="G8" s="2" t="s">
        <v>2497</v>
      </c>
      <c r="H8" s="2" t="s">
        <v>2498</v>
      </c>
    </row>
    <row r="9" spans="1:8">
      <c r="A9" s="2">
        <v>2</v>
      </c>
      <c r="B9" s="2" t="s">
        <v>108</v>
      </c>
      <c r="C9" s="2" t="s">
        <v>2499</v>
      </c>
      <c r="D9" s="2" t="s">
        <v>69</v>
      </c>
      <c r="E9" s="2" t="s">
        <v>42</v>
      </c>
      <c r="F9" s="2" t="s">
        <v>64</v>
      </c>
      <c r="G9" s="2" t="s">
        <v>2500</v>
      </c>
      <c r="H9" s="2" t="s">
        <v>2501</v>
      </c>
    </row>
    <row r="10" spans="1:8">
      <c r="A10" s="2">
        <v>9</v>
      </c>
      <c r="B10" s="2" t="s">
        <v>108</v>
      </c>
      <c r="C10" s="2" t="s">
        <v>258</v>
      </c>
      <c r="D10" s="2" t="s">
        <v>69</v>
      </c>
      <c r="E10" s="2" t="s">
        <v>30</v>
      </c>
      <c r="F10" s="2" t="s">
        <v>1160</v>
      </c>
      <c r="G10" s="2" t="s">
        <v>2502</v>
      </c>
      <c r="H10" s="2" t="s">
        <v>2503</v>
      </c>
    </row>
    <row r="11" spans="1:8">
      <c r="A11" s="2">
        <v>10</v>
      </c>
      <c r="B11" s="2" t="s">
        <v>108</v>
      </c>
      <c r="C11" s="2" t="s">
        <v>280</v>
      </c>
      <c r="D11" s="2" t="s">
        <v>69</v>
      </c>
      <c r="E11" s="2" t="s">
        <v>24</v>
      </c>
      <c r="F11" s="2" t="s">
        <v>1160</v>
      </c>
      <c r="G11" s="2" t="s">
        <v>2504</v>
      </c>
      <c r="H11" s="2" t="s">
        <v>2505</v>
      </c>
    </row>
    <row r="12" spans="1:8">
      <c r="A12" s="2">
        <v>11</v>
      </c>
      <c r="B12" s="2" t="s">
        <v>108</v>
      </c>
      <c r="C12" s="2" t="s">
        <v>314</v>
      </c>
      <c r="D12" s="2" t="s">
        <v>69</v>
      </c>
      <c r="E12" s="2" t="s">
        <v>39</v>
      </c>
      <c r="F12" s="2" t="s">
        <v>2506</v>
      </c>
      <c r="G12" s="2" t="s">
        <v>2507</v>
      </c>
      <c r="H12" s="2" t="s">
        <v>2508</v>
      </c>
    </row>
    <row r="13" spans="1:8">
      <c r="A13" s="2">
        <v>12</v>
      </c>
      <c r="B13" s="2" t="s">
        <v>108</v>
      </c>
      <c r="C13" s="2" t="s">
        <v>320</v>
      </c>
      <c r="D13" s="2" t="s">
        <v>69</v>
      </c>
      <c r="E13" s="2" t="s">
        <v>34</v>
      </c>
      <c r="F13" s="2" t="s">
        <v>2483</v>
      </c>
      <c r="G13" s="2" t="s">
        <v>2509</v>
      </c>
      <c r="H13" s="2" t="s">
        <v>2510</v>
      </c>
    </row>
    <row r="14" spans="1:8">
      <c r="A14" s="2">
        <v>13</v>
      </c>
      <c r="B14" s="2" t="s">
        <v>108</v>
      </c>
      <c r="C14" s="2" t="s">
        <v>564</v>
      </c>
      <c r="D14" s="2" t="s">
        <v>69</v>
      </c>
      <c r="E14" s="2" t="s">
        <v>42</v>
      </c>
      <c r="F14" s="2" t="s">
        <v>2483</v>
      </c>
      <c r="G14" s="2" t="s">
        <v>2511</v>
      </c>
      <c r="H14" s="2" t="s">
        <v>2512</v>
      </c>
    </row>
    <row r="15" spans="1:8">
      <c r="A15" s="2">
        <v>14</v>
      </c>
      <c r="B15" s="2" t="s">
        <v>108</v>
      </c>
      <c r="C15" s="2" t="s">
        <v>336</v>
      </c>
      <c r="D15" s="2" t="s">
        <v>69</v>
      </c>
      <c r="E15" s="2" t="s">
        <v>70</v>
      </c>
      <c r="F15" s="2" t="s">
        <v>2483</v>
      </c>
      <c r="G15" s="2" t="s">
        <v>2513</v>
      </c>
      <c r="H15" s="2" t="s">
        <v>2514</v>
      </c>
    </row>
    <row r="16" spans="1:8">
      <c r="A16" s="2">
        <v>15</v>
      </c>
      <c r="B16" s="2" t="s">
        <v>108</v>
      </c>
      <c r="C16" s="2" t="s">
        <v>345</v>
      </c>
      <c r="D16" s="2" t="s">
        <v>69</v>
      </c>
      <c r="E16" s="2" t="s">
        <v>70</v>
      </c>
      <c r="F16" s="2" t="s">
        <v>2483</v>
      </c>
      <c r="G16" s="2" t="s">
        <v>2511</v>
      </c>
      <c r="H16" s="2" t="s">
        <v>2515</v>
      </c>
    </row>
    <row r="17" spans="1:8">
      <c r="A17" s="2">
        <v>16</v>
      </c>
      <c r="B17" s="2" t="s">
        <v>108</v>
      </c>
      <c r="C17" s="2" t="s">
        <v>396</v>
      </c>
      <c r="D17" s="2" t="s">
        <v>69</v>
      </c>
      <c r="E17" s="2" t="s">
        <v>42</v>
      </c>
      <c r="F17" s="2" t="s">
        <v>2483</v>
      </c>
      <c r="G17" s="2" t="s">
        <v>2513</v>
      </c>
      <c r="H17" s="2" t="s">
        <v>2516</v>
      </c>
    </row>
    <row r="18" spans="1:8">
      <c r="A18" s="2">
        <v>17</v>
      </c>
      <c r="B18" s="2" t="s">
        <v>108</v>
      </c>
      <c r="C18" s="2" t="s">
        <v>528</v>
      </c>
      <c r="D18" s="2" t="s">
        <v>69</v>
      </c>
      <c r="E18" s="2" t="s">
        <v>24</v>
      </c>
      <c r="F18" s="2" t="s">
        <v>2483</v>
      </c>
      <c r="G18" s="2" t="s">
        <v>2517</v>
      </c>
      <c r="H18" s="2" t="s">
        <v>2518</v>
      </c>
    </row>
    <row r="19" spans="1:8">
      <c r="A19" s="2">
        <v>18</v>
      </c>
      <c r="B19" s="2" t="s">
        <v>108</v>
      </c>
      <c r="C19" s="2" t="s">
        <v>182</v>
      </c>
      <c r="D19" s="2" t="s">
        <v>69</v>
      </c>
      <c r="E19" s="2" t="s">
        <v>35</v>
      </c>
      <c r="F19" s="2" t="s">
        <v>2519</v>
      </c>
      <c r="G19" s="2" t="s">
        <v>2520</v>
      </c>
      <c r="H19" s="2" t="s">
        <v>2521</v>
      </c>
    </row>
    <row r="20" spans="1:8">
      <c r="A20" s="2">
        <v>19</v>
      </c>
      <c r="B20" s="2" t="s">
        <v>108</v>
      </c>
      <c r="C20" s="73" t="s">
        <v>2522</v>
      </c>
      <c r="D20" s="73" t="s">
        <v>69</v>
      </c>
      <c r="E20" s="73" t="s">
        <v>24</v>
      </c>
      <c r="F20" s="73" t="s">
        <v>1160</v>
      </c>
      <c r="G20" s="73" t="s">
        <v>2523</v>
      </c>
      <c r="H20" s="73" t="s">
        <v>2524</v>
      </c>
    </row>
    <row r="21" spans="1:8">
      <c r="A21" s="2">
        <v>21</v>
      </c>
      <c r="B21" s="2" t="s">
        <v>108</v>
      </c>
      <c r="C21" s="2" t="s">
        <v>582</v>
      </c>
      <c r="D21" s="2" t="s">
        <v>69</v>
      </c>
      <c r="E21" s="2" t="s">
        <v>24</v>
      </c>
      <c r="F21" s="2" t="s">
        <v>2483</v>
      </c>
      <c r="G21" s="2" t="s">
        <v>2525</v>
      </c>
      <c r="H21" s="2" t="s">
        <v>2526</v>
      </c>
    </row>
    <row r="22" spans="1:8">
      <c r="A22" s="2">
        <v>22</v>
      </c>
      <c r="B22" s="2" t="s">
        <v>108</v>
      </c>
      <c r="C22" s="2" t="s">
        <v>589</v>
      </c>
      <c r="D22" s="2" t="s">
        <v>69</v>
      </c>
      <c r="E22" s="2" t="s">
        <v>24</v>
      </c>
      <c r="F22" s="2" t="s">
        <v>2483</v>
      </c>
      <c r="G22" s="2" t="s">
        <v>2527</v>
      </c>
      <c r="H22" s="2" t="s">
        <v>2528</v>
      </c>
    </row>
    <row r="23" spans="1:8">
      <c r="A23" s="2">
        <v>23</v>
      </c>
      <c r="B23" s="2" t="s">
        <v>108</v>
      </c>
      <c r="C23" s="73" t="s">
        <v>2529</v>
      </c>
      <c r="D23" s="73" t="s">
        <v>69</v>
      </c>
      <c r="E23" s="73" t="s">
        <v>30</v>
      </c>
      <c r="F23" s="73" t="s">
        <v>2483</v>
      </c>
      <c r="G23" s="73" t="s">
        <v>2511</v>
      </c>
      <c r="H23" s="73" t="s">
        <v>2530</v>
      </c>
    </row>
    <row r="24" spans="1:8">
      <c r="A24" s="2">
        <v>25</v>
      </c>
      <c r="B24" s="2" t="s">
        <v>108</v>
      </c>
      <c r="C24" s="2" t="s">
        <v>641</v>
      </c>
      <c r="D24" s="2" t="s">
        <v>69</v>
      </c>
      <c r="E24" s="2" t="s">
        <v>28</v>
      </c>
      <c r="F24" s="2" t="s">
        <v>1502</v>
      </c>
      <c r="G24" s="2" t="s">
        <v>2531</v>
      </c>
      <c r="H24" s="2" t="s">
        <v>2532</v>
      </c>
    </row>
    <row r="25" spans="1:8">
      <c r="A25" s="2">
        <v>26</v>
      </c>
      <c r="B25" s="2" t="s">
        <v>108</v>
      </c>
      <c r="C25" s="2" t="s">
        <v>659</v>
      </c>
      <c r="D25" s="2" t="s">
        <v>69</v>
      </c>
      <c r="E25" s="2" t="s">
        <v>29</v>
      </c>
      <c r="F25" s="2" t="s">
        <v>1160</v>
      </c>
      <c r="G25" s="2" t="s">
        <v>2533</v>
      </c>
      <c r="H25" s="2" t="s">
        <v>2534</v>
      </c>
    </row>
    <row r="26" spans="1:8">
      <c r="A26" s="2">
        <v>27</v>
      </c>
      <c r="B26" s="2" t="s">
        <v>108</v>
      </c>
      <c r="C26" s="2" t="s">
        <v>668</v>
      </c>
      <c r="D26" s="2" t="s">
        <v>69</v>
      </c>
      <c r="E26" s="2" t="s">
        <v>31</v>
      </c>
      <c r="F26" s="2" t="s">
        <v>2483</v>
      </c>
      <c r="G26" s="2" t="s">
        <v>2527</v>
      </c>
      <c r="H26" s="2" t="s">
        <v>2535</v>
      </c>
    </row>
    <row r="27" spans="1:8">
      <c r="A27" s="2">
        <v>28</v>
      </c>
      <c r="B27" s="2" t="s">
        <v>108</v>
      </c>
      <c r="C27" s="2" t="s">
        <v>681</v>
      </c>
      <c r="D27" s="2" t="s">
        <v>69</v>
      </c>
      <c r="E27" s="2" t="s">
        <v>24</v>
      </c>
      <c r="F27" s="2" t="s">
        <v>2483</v>
      </c>
      <c r="G27" s="2" t="s">
        <v>2497</v>
      </c>
      <c r="H27" s="2" t="s">
        <v>2536</v>
      </c>
    </row>
    <row r="28" spans="1:8">
      <c r="A28" s="2">
        <v>24</v>
      </c>
      <c r="B28" s="2" t="s">
        <v>108</v>
      </c>
      <c r="C28" s="2" t="s">
        <v>685</v>
      </c>
      <c r="D28" s="2" t="s">
        <v>69</v>
      </c>
      <c r="E28" s="2" t="s">
        <v>30</v>
      </c>
      <c r="F28" s="2" t="s">
        <v>2483</v>
      </c>
      <c r="G28" s="2" t="s">
        <v>2511</v>
      </c>
      <c r="H28" s="2" t="s">
        <v>2537</v>
      </c>
    </row>
    <row r="29" spans="1:8">
      <c r="A29" s="2">
        <v>29</v>
      </c>
      <c r="B29" s="2" t="s">
        <v>108</v>
      </c>
      <c r="C29" s="2" t="s">
        <v>1339</v>
      </c>
      <c r="D29" s="2" t="s">
        <v>69</v>
      </c>
      <c r="E29" s="2" t="s">
        <v>24</v>
      </c>
      <c r="F29" s="2" t="s">
        <v>2483</v>
      </c>
      <c r="G29" s="2" t="s">
        <v>2527</v>
      </c>
      <c r="H29" s="2" t="s">
        <v>2538</v>
      </c>
    </row>
    <row r="30" spans="1:8">
      <c r="A30" s="2">
        <v>30</v>
      </c>
      <c r="B30" s="2" t="s">
        <v>108</v>
      </c>
      <c r="C30" s="2" t="s">
        <v>217</v>
      </c>
      <c r="D30" s="2" t="s">
        <v>69</v>
      </c>
      <c r="E30" s="2" t="s">
        <v>33</v>
      </c>
      <c r="F30" s="2" t="s">
        <v>1160</v>
      </c>
      <c r="G30" s="2" t="s">
        <v>2502</v>
      </c>
      <c r="H30" s="2" t="s">
        <v>2539</v>
      </c>
    </row>
    <row r="31" spans="1:8">
      <c r="A31" s="2">
        <v>32</v>
      </c>
      <c r="B31" s="2" t="s">
        <v>108</v>
      </c>
      <c r="C31" s="2" t="s">
        <v>749</v>
      </c>
      <c r="D31" s="2" t="s">
        <v>69</v>
      </c>
      <c r="E31" s="2" t="s">
        <v>25</v>
      </c>
      <c r="F31" s="2" t="s">
        <v>1502</v>
      </c>
      <c r="G31" s="2" t="s">
        <v>2540</v>
      </c>
      <c r="H31" s="2" t="s">
        <v>2541</v>
      </c>
    </row>
    <row r="32" spans="1:8">
      <c r="A32" s="2">
        <v>31</v>
      </c>
      <c r="B32" s="2" t="s">
        <v>108</v>
      </c>
      <c r="C32" s="73" t="s">
        <v>11</v>
      </c>
      <c r="D32" s="73" t="s">
        <v>69</v>
      </c>
      <c r="E32" s="73" t="s">
        <v>39</v>
      </c>
      <c r="F32" s="73" t="s">
        <v>2483</v>
      </c>
      <c r="G32" s="73" t="s">
        <v>2542</v>
      </c>
      <c r="H32" s="73" t="s">
        <v>2543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3406-D679-46C5-9B57-D08B9BA1262F}">
  <dimension ref="A1:C92"/>
  <sheetViews>
    <sheetView topLeftCell="A26" workbookViewId="0">
      <selection activeCell="B53" sqref="B53"/>
    </sheetView>
  </sheetViews>
  <sheetFormatPr defaultColWidth="11.42578125" defaultRowHeight="15"/>
  <cols>
    <col min="1" max="1" width="55.140625" bestFit="1" customWidth="1"/>
    <col min="2" max="2" width="23.28515625" style="2" bestFit="1" customWidth="1"/>
    <col min="3" max="3" width="32.28515625" style="2" bestFit="1" customWidth="1"/>
  </cols>
  <sheetData>
    <row r="1" spans="1:3" ht="25.5" customHeight="1">
      <c r="A1" s="39" t="s">
        <v>2544</v>
      </c>
      <c r="B1" s="39" t="s">
        <v>9</v>
      </c>
      <c r="C1" s="39" t="s">
        <v>2545</v>
      </c>
    </row>
    <row r="2" spans="1:3">
      <c r="A2" t="s">
        <v>2546</v>
      </c>
      <c r="B2" s="2" t="s">
        <v>2547</v>
      </c>
      <c r="C2" s="2" t="s">
        <v>108</v>
      </c>
    </row>
    <row r="3" spans="1:3">
      <c r="A3" t="s">
        <v>2546</v>
      </c>
      <c r="B3" s="2" t="s">
        <v>2548</v>
      </c>
      <c r="C3" s="2" t="s">
        <v>108</v>
      </c>
    </row>
    <row r="4" spans="1:3">
      <c r="A4" t="s">
        <v>2549</v>
      </c>
      <c r="B4" s="2" t="s">
        <v>2550</v>
      </c>
      <c r="C4" s="32" t="s">
        <v>2551</v>
      </c>
    </row>
    <row r="5" spans="1:3">
      <c r="A5" t="s">
        <v>2549</v>
      </c>
      <c r="B5" s="2" t="s">
        <v>2552</v>
      </c>
      <c r="C5" s="32" t="s">
        <v>2553</v>
      </c>
    </row>
    <row r="6" spans="1:3">
      <c r="A6" t="s">
        <v>2554</v>
      </c>
      <c r="B6" s="2" t="s">
        <v>2555</v>
      </c>
      <c r="C6" s="32" t="s">
        <v>2556</v>
      </c>
    </row>
    <row r="7" spans="1:3">
      <c r="A7" t="s">
        <v>2554</v>
      </c>
      <c r="B7" s="2" t="s">
        <v>2557</v>
      </c>
      <c r="C7" s="32" t="s">
        <v>323</v>
      </c>
    </row>
    <row r="8" spans="1:3">
      <c r="A8" t="s">
        <v>2554</v>
      </c>
      <c r="B8" s="2" t="s">
        <v>2558</v>
      </c>
      <c r="C8" s="32" t="s">
        <v>2559</v>
      </c>
    </row>
    <row r="9" spans="1:3">
      <c r="A9" t="s">
        <v>2554</v>
      </c>
      <c r="B9" s="2" t="s">
        <v>2560</v>
      </c>
      <c r="C9" s="32" t="s">
        <v>452</v>
      </c>
    </row>
    <row r="10" spans="1:3">
      <c r="A10" t="s">
        <v>2554</v>
      </c>
      <c r="B10" s="2" t="s">
        <v>2561</v>
      </c>
      <c r="C10" s="32" t="s">
        <v>147</v>
      </c>
    </row>
    <row r="11" spans="1:3">
      <c r="A11" t="s">
        <v>2554</v>
      </c>
      <c r="B11" s="2" t="s">
        <v>2562</v>
      </c>
      <c r="C11" s="32" t="s">
        <v>644</v>
      </c>
    </row>
    <row r="12" spans="1:3">
      <c r="A12" t="s">
        <v>2554</v>
      </c>
      <c r="B12" s="2" t="s">
        <v>2563</v>
      </c>
      <c r="C12" s="32" t="s">
        <v>114</v>
      </c>
    </row>
    <row r="13" spans="1:3">
      <c r="A13" t="s">
        <v>2554</v>
      </c>
      <c r="B13" s="2" t="s">
        <v>2564</v>
      </c>
      <c r="C13" s="32" t="s">
        <v>120</v>
      </c>
    </row>
    <row r="14" spans="1:3">
      <c r="A14" t="s">
        <v>2554</v>
      </c>
      <c r="B14" s="2" t="s">
        <v>2565</v>
      </c>
      <c r="C14" s="32" t="s">
        <v>2566</v>
      </c>
    </row>
    <row r="15" spans="1:3">
      <c r="A15" t="s">
        <v>2554</v>
      </c>
      <c r="B15" s="2" t="s">
        <v>2567</v>
      </c>
      <c r="C15" s="32" t="s">
        <v>2568</v>
      </c>
    </row>
    <row r="16" spans="1:3">
      <c r="A16" t="s">
        <v>2554</v>
      </c>
      <c r="B16" s="2" t="s">
        <v>2569</v>
      </c>
      <c r="C16" s="32" t="s">
        <v>671</v>
      </c>
    </row>
    <row r="17" spans="1:3">
      <c r="A17" t="s">
        <v>2554</v>
      </c>
      <c r="B17" s="2" t="s">
        <v>2570</v>
      </c>
      <c r="C17" s="32" t="s">
        <v>348</v>
      </c>
    </row>
    <row r="18" spans="1:3">
      <c r="A18" t="s">
        <v>2554</v>
      </c>
      <c r="B18" s="2" t="s">
        <v>2571</v>
      </c>
      <c r="C18" s="32" t="s">
        <v>2572</v>
      </c>
    </row>
    <row r="19" spans="1:3">
      <c r="A19" t="s">
        <v>2554</v>
      </c>
      <c r="B19" s="2" t="s">
        <v>2573</v>
      </c>
      <c r="C19" s="32" t="s">
        <v>261</v>
      </c>
    </row>
    <row r="20" spans="1:3">
      <c r="A20" t="s">
        <v>2554</v>
      </c>
      <c r="B20" s="2" t="s">
        <v>2574</v>
      </c>
      <c r="C20" s="32" t="s">
        <v>653</v>
      </c>
    </row>
    <row r="21" spans="1:3">
      <c r="A21" t="s">
        <v>2575</v>
      </c>
      <c r="B21" s="2" t="s">
        <v>2555</v>
      </c>
      <c r="C21" s="32" t="s">
        <v>2556</v>
      </c>
    </row>
    <row r="22" spans="1:3">
      <c r="A22" t="s">
        <v>2575</v>
      </c>
      <c r="B22" s="2" t="s">
        <v>2557</v>
      </c>
      <c r="C22" s="32" t="s">
        <v>323</v>
      </c>
    </row>
    <row r="23" spans="1:3">
      <c r="A23" t="s">
        <v>2575</v>
      </c>
      <c r="B23" s="2" t="s">
        <v>2576</v>
      </c>
      <c r="C23" s="32" t="s">
        <v>469</v>
      </c>
    </row>
    <row r="24" spans="1:3">
      <c r="A24" t="s">
        <v>2575</v>
      </c>
      <c r="B24" s="2" t="s">
        <v>2577</v>
      </c>
      <c r="C24" s="32" t="s">
        <v>688</v>
      </c>
    </row>
    <row r="25" spans="1:3">
      <c r="A25" t="s">
        <v>2575</v>
      </c>
      <c r="B25" s="2" t="s">
        <v>2578</v>
      </c>
      <c r="C25" s="32" t="s">
        <v>200</v>
      </c>
    </row>
    <row r="26" spans="1:3">
      <c r="A26" t="s">
        <v>2575</v>
      </c>
      <c r="B26" s="2" t="s">
        <v>2579</v>
      </c>
      <c r="C26" s="32" t="s">
        <v>213</v>
      </c>
    </row>
    <row r="27" spans="1:3">
      <c r="A27" t="s">
        <v>2575</v>
      </c>
      <c r="B27" s="2" t="s">
        <v>2558</v>
      </c>
      <c r="C27" s="32" t="s">
        <v>2559</v>
      </c>
    </row>
    <row r="28" spans="1:3">
      <c r="A28" t="s">
        <v>2575</v>
      </c>
      <c r="B28" s="2" t="s">
        <v>2580</v>
      </c>
      <c r="C28" s="32" t="s">
        <v>399</v>
      </c>
    </row>
    <row r="29" spans="1:3">
      <c r="A29" t="s">
        <v>2575</v>
      </c>
      <c r="B29" s="2" t="s">
        <v>2581</v>
      </c>
      <c r="C29" s="32" t="s">
        <v>158</v>
      </c>
    </row>
    <row r="30" spans="1:3">
      <c r="A30" t="s">
        <v>2575</v>
      </c>
      <c r="B30" s="2" t="s">
        <v>2582</v>
      </c>
      <c r="C30" s="32" t="s">
        <v>312</v>
      </c>
    </row>
    <row r="31" spans="1:3">
      <c r="A31" t="s">
        <v>2575</v>
      </c>
      <c r="B31" s="2" t="s">
        <v>2583</v>
      </c>
      <c r="C31" s="32" t="s">
        <v>204</v>
      </c>
    </row>
    <row r="32" spans="1:3">
      <c r="A32" t="s">
        <v>2575</v>
      </c>
      <c r="B32" s="2" t="s">
        <v>2584</v>
      </c>
      <c r="C32" s="32" t="s">
        <v>390</v>
      </c>
    </row>
    <row r="33" spans="1:3">
      <c r="A33" t="s">
        <v>2575</v>
      </c>
      <c r="B33" s="2" t="s">
        <v>2573</v>
      </c>
      <c r="C33" s="32" t="s">
        <v>261</v>
      </c>
    </row>
    <row r="34" spans="1:3">
      <c r="A34" t="s">
        <v>2575</v>
      </c>
      <c r="B34" s="2" t="s">
        <v>2585</v>
      </c>
      <c r="C34" s="32" t="s">
        <v>2586</v>
      </c>
    </row>
    <row r="35" spans="1:3">
      <c r="A35" t="s">
        <v>2575</v>
      </c>
      <c r="B35" s="2" t="s">
        <v>2570</v>
      </c>
      <c r="C35" s="32" t="s">
        <v>348</v>
      </c>
    </row>
    <row r="36" spans="1:3">
      <c r="A36" t="s">
        <v>2575</v>
      </c>
      <c r="B36" s="2" t="s">
        <v>2587</v>
      </c>
      <c r="C36" s="32" t="s">
        <v>339</v>
      </c>
    </row>
    <row r="37" spans="1:3">
      <c r="A37" t="s">
        <v>2575</v>
      </c>
      <c r="B37" s="2" t="s">
        <v>2560</v>
      </c>
      <c r="C37" s="32" t="s">
        <v>452</v>
      </c>
    </row>
    <row r="38" spans="1:3">
      <c r="A38" t="s">
        <v>2575</v>
      </c>
      <c r="B38" s="2" t="s">
        <v>2561</v>
      </c>
      <c r="C38" s="32" t="s">
        <v>147</v>
      </c>
    </row>
    <row r="39" spans="1:3">
      <c r="A39" t="s">
        <v>2575</v>
      </c>
      <c r="B39" s="2" t="s">
        <v>2588</v>
      </c>
      <c r="C39" s="32" t="s">
        <v>547</v>
      </c>
    </row>
    <row r="40" spans="1:3">
      <c r="A40" t="s">
        <v>2575</v>
      </c>
      <c r="B40" s="2" t="s">
        <v>2589</v>
      </c>
      <c r="C40" s="32" t="s">
        <v>747</v>
      </c>
    </row>
    <row r="41" spans="1:3">
      <c r="A41" t="s">
        <v>2575</v>
      </c>
      <c r="B41" s="2" t="s">
        <v>2590</v>
      </c>
      <c r="C41" s="32" t="s">
        <v>483</v>
      </c>
    </row>
    <row r="42" spans="1:3">
      <c r="A42" t="s">
        <v>2575</v>
      </c>
      <c r="B42" s="2" t="s">
        <v>2591</v>
      </c>
      <c r="C42" s="32" t="s">
        <v>492</v>
      </c>
    </row>
    <row r="43" spans="1:3">
      <c r="A43" t="s">
        <v>2575</v>
      </c>
      <c r="B43" s="2" t="s">
        <v>2562</v>
      </c>
      <c r="C43" s="32" t="s">
        <v>644</v>
      </c>
    </row>
    <row r="44" spans="1:3">
      <c r="A44" t="s">
        <v>2575</v>
      </c>
      <c r="B44" s="2" t="s">
        <v>2563</v>
      </c>
      <c r="C44" s="32" t="s">
        <v>114</v>
      </c>
    </row>
    <row r="45" spans="1:3">
      <c r="A45" t="s">
        <v>2575</v>
      </c>
      <c r="B45" s="2" t="s">
        <v>2564</v>
      </c>
      <c r="C45" s="32" t="s">
        <v>120</v>
      </c>
    </row>
    <row r="46" spans="1:3">
      <c r="A46" t="s">
        <v>2575</v>
      </c>
      <c r="B46" s="2" t="s">
        <v>2565</v>
      </c>
      <c r="C46" s="32" t="s">
        <v>2566</v>
      </c>
    </row>
    <row r="47" spans="1:3">
      <c r="A47" t="s">
        <v>2575</v>
      </c>
      <c r="B47" s="2" t="s">
        <v>2567</v>
      </c>
      <c r="C47" s="32" t="s">
        <v>2568</v>
      </c>
    </row>
    <row r="48" spans="1:3">
      <c r="A48" t="s">
        <v>2575</v>
      </c>
      <c r="B48" s="2" t="s">
        <v>2569</v>
      </c>
      <c r="C48" s="32" t="s">
        <v>671</v>
      </c>
    </row>
    <row r="49" spans="1:3">
      <c r="A49" t="s">
        <v>2575</v>
      </c>
      <c r="B49" s="2" t="s">
        <v>2571</v>
      </c>
      <c r="C49" s="32" t="s">
        <v>2572</v>
      </c>
    </row>
    <row r="50" spans="1:3">
      <c r="A50" t="s">
        <v>2575</v>
      </c>
      <c r="B50" s="2" t="s">
        <v>2592</v>
      </c>
      <c r="C50" s="32" t="s">
        <v>443</v>
      </c>
    </row>
    <row r="51" spans="1:3">
      <c r="A51" t="s">
        <v>2575</v>
      </c>
      <c r="B51" s="2" t="s">
        <v>2593</v>
      </c>
      <c r="C51" s="32" t="s">
        <v>241</v>
      </c>
    </row>
    <row r="52" spans="1:3">
      <c r="A52" t="s">
        <v>2575</v>
      </c>
      <c r="B52" s="2" t="s">
        <v>2574</v>
      </c>
      <c r="C52" s="32" t="s">
        <v>653</v>
      </c>
    </row>
    <row r="53" spans="1:3">
      <c r="A53" t="s">
        <v>2575</v>
      </c>
      <c r="B53" s="2" t="s">
        <v>2594</v>
      </c>
      <c r="C53" s="32" t="s">
        <v>168</v>
      </c>
    </row>
    <row r="54" spans="1:3">
      <c r="A54" t="s">
        <v>2595</v>
      </c>
      <c r="B54" s="2" t="s">
        <v>2555</v>
      </c>
      <c r="C54" s="32" t="s">
        <v>2556</v>
      </c>
    </row>
    <row r="55" spans="1:3">
      <c r="A55" t="s">
        <v>2595</v>
      </c>
      <c r="B55" s="2" t="s">
        <v>2557</v>
      </c>
      <c r="C55" s="32" t="s">
        <v>323</v>
      </c>
    </row>
    <row r="56" spans="1:3">
      <c r="A56" t="s">
        <v>2595</v>
      </c>
      <c r="B56" s="2" t="s">
        <v>2576</v>
      </c>
      <c r="C56" s="32" t="s">
        <v>469</v>
      </c>
    </row>
    <row r="57" spans="1:3">
      <c r="A57" t="s">
        <v>2595</v>
      </c>
      <c r="B57" s="2" t="s">
        <v>2577</v>
      </c>
      <c r="C57" s="32" t="s">
        <v>688</v>
      </c>
    </row>
    <row r="58" spans="1:3">
      <c r="A58" t="s">
        <v>2595</v>
      </c>
      <c r="B58" s="2" t="s">
        <v>2578</v>
      </c>
      <c r="C58" s="32" t="s">
        <v>200</v>
      </c>
    </row>
    <row r="59" spans="1:3">
      <c r="A59" t="s">
        <v>2595</v>
      </c>
      <c r="B59" s="2" t="s">
        <v>2580</v>
      </c>
      <c r="C59" s="32" t="s">
        <v>399</v>
      </c>
    </row>
    <row r="60" spans="1:3">
      <c r="A60" t="s">
        <v>2595</v>
      </c>
      <c r="B60" s="2" t="s">
        <v>2596</v>
      </c>
      <c r="C60" s="32" t="s">
        <v>173</v>
      </c>
    </row>
    <row r="61" spans="1:3">
      <c r="A61" t="s">
        <v>2595</v>
      </c>
      <c r="B61" s="2" t="s">
        <v>2579</v>
      </c>
      <c r="C61" s="32" t="s">
        <v>213</v>
      </c>
    </row>
    <row r="62" spans="1:3">
      <c r="A62" t="s">
        <v>2595</v>
      </c>
      <c r="B62" s="2" t="s">
        <v>2558</v>
      </c>
      <c r="C62" s="32" t="s">
        <v>2559</v>
      </c>
    </row>
    <row r="63" spans="1:3">
      <c r="A63" t="s">
        <v>2595</v>
      </c>
      <c r="B63" s="2" t="s">
        <v>2581</v>
      </c>
      <c r="C63" s="32" t="s">
        <v>158</v>
      </c>
    </row>
    <row r="64" spans="1:3">
      <c r="A64" t="s">
        <v>2595</v>
      </c>
      <c r="B64" s="2" t="s">
        <v>2582</v>
      </c>
      <c r="C64" s="32" t="s">
        <v>312</v>
      </c>
    </row>
    <row r="65" spans="1:3">
      <c r="A65" t="s">
        <v>2595</v>
      </c>
      <c r="B65" s="2" t="s">
        <v>2583</v>
      </c>
      <c r="C65" s="32" t="s">
        <v>204</v>
      </c>
    </row>
    <row r="66" spans="1:3">
      <c r="A66" t="s">
        <v>2595</v>
      </c>
      <c r="B66" s="2" t="s">
        <v>2584</v>
      </c>
      <c r="C66" s="32" t="s">
        <v>390</v>
      </c>
    </row>
    <row r="67" spans="1:3">
      <c r="A67" t="s">
        <v>2595</v>
      </c>
      <c r="B67" s="2" t="s">
        <v>2573</v>
      </c>
      <c r="C67" s="32" t="s">
        <v>261</v>
      </c>
    </row>
    <row r="68" spans="1:3">
      <c r="A68" t="s">
        <v>2595</v>
      </c>
      <c r="B68" s="2" t="s">
        <v>2585</v>
      </c>
      <c r="C68" s="32" t="s">
        <v>2586</v>
      </c>
    </row>
    <row r="69" spans="1:3">
      <c r="A69" t="s">
        <v>2595</v>
      </c>
      <c r="B69" s="2" t="s">
        <v>2567</v>
      </c>
      <c r="C69" s="32" t="s">
        <v>2568</v>
      </c>
    </row>
    <row r="70" spans="1:3">
      <c r="A70" t="s">
        <v>2595</v>
      </c>
      <c r="B70" s="2" t="s">
        <v>2570</v>
      </c>
      <c r="C70" s="32" t="s">
        <v>348</v>
      </c>
    </row>
    <row r="71" spans="1:3">
      <c r="A71" t="s">
        <v>2595</v>
      </c>
      <c r="B71" s="2" t="s">
        <v>2587</v>
      </c>
      <c r="C71" s="32" t="s">
        <v>339</v>
      </c>
    </row>
    <row r="72" spans="1:3">
      <c r="A72" t="s">
        <v>2595</v>
      </c>
      <c r="B72" s="2" t="s">
        <v>2560</v>
      </c>
      <c r="C72" s="32" t="s">
        <v>452</v>
      </c>
    </row>
    <row r="73" spans="1:3">
      <c r="A73" t="s">
        <v>2595</v>
      </c>
      <c r="B73" s="2" t="s">
        <v>2561</v>
      </c>
      <c r="C73" s="32" t="s">
        <v>147</v>
      </c>
    </row>
    <row r="74" spans="1:3">
      <c r="A74" t="s">
        <v>2595</v>
      </c>
      <c r="B74" s="2" t="s">
        <v>2588</v>
      </c>
      <c r="C74" s="32" t="s">
        <v>547</v>
      </c>
    </row>
    <row r="75" spans="1:3">
      <c r="A75" t="s">
        <v>2595</v>
      </c>
      <c r="B75" s="2" t="s">
        <v>2589</v>
      </c>
      <c r="C75" s="32" t="s">
        <v>747</v>
      </c>
    </row>
    <row r="76" spans="1:3">
      <c r="A76" t="s">
        <v>2595</v>
      </c>
      <c r="B76" s="2" t="s">
        <v>2590</v>
      </c>
      <c r="C76" s="32" t="s">
        <v>483</v>
      </c>
    </row>
    <row r="77" spans="1:3">
      <c r="A77" t="s">
        <v>2595</v>
      </c>
      <c r="B77" s="2" t="s">
        <v>2569</v>
      </c>
      <c r="C77" s="32" t="s">
        <v>671</v>
      </c>
    </row>
    <row r="78" spans="1:3">
      <c r="A78" t="s">
        <v>2595</v>
      </c>
      <c r="B78" s="2" t="s">
        <v>2592</v>
      </c>
      <c r="C78" s="32" t="s">
        <v>443</v>
      </c>
    </row>
    <row r="79" spans="1:3">
      <c r="A79" t="s">
        <v>2595</v>
      </c>
      <c r="B79" s="2" t="s">
        <v>2593</v>
      </c>
      <c r="C79" s="32" t="s">
        <v>241</v>
      </c>
    </row>
    <row r="80" spans="1:3">
      <c r="A80" t="s">
        <v>2595</v>
      </c>
      <c r="B80" s="2" t="s">
        <v>2563</v>
      </c>
      <c r="C80" s="32" t="s">
        <v>114</v>
      </c>
    </row>
    <row r="81" spans="1:3">
      <c r="A81" t="s">
        <v>2595</v>
      </c>
      <c r="B81" s="2" t="s">
        <v>2565</v>
      </c>
      <c r="C81" s="32" t="s">
        <v>2566</v>
      </c>
    </row>
    <row r="82" spans="1:3">
      <c r="A82" t="s">
        <v>2595</v>
      </c>
      <c r="B82" s="2" t="s">
        <v>2564</v>
      </c>
      <c r="C82" s="32" t="s">
        <v>120</v>
      </c>
    </row>
    <row r="83" spans="1:3">
      <c r="A83" t="s">
        <v>2595</v>
      </c>
      <c r="B83" s="2" t="s">
        <v>2562</v>
      </c>
      <c r="C83" s="32" t="s">
        <v>644</v>
      </c>
    </row>
    <row r="84" spans="1:3">
      <c r="A84" t="s">
        <v>2595</v>
      </c>
      <c r="B84" s="2" t="s">
        <v>2574</v>
      </c>
      <c r="C84" s="32" t="s">
        <v>653</v>
      </c>
    </row>
    <row r="85" spans="1:3">
      <c r="A85" t="s">
        <v>2595</v>
      </c>
      <c r="B85" s="2" t="s">
        <v>2594</v>
      </c>
      <c r="C85" s="32" t="s">
        <v>168</v>
      </c>
    </row>
    <row r="86" spans="1:3">
      <c r="A86" t="s">
        <v>2595</v>
      </c>
      <c r="B86" s="2" t="s">
        <v>2597</v>
      </c>
      <c r="C86" s="32" t="s">
        <v>630</v>
      </c>
    </row>
    <row r="87" spans="1:3">
      <c r="A87" t="s">
        <v>2598</v>
      </c>
      <c r="B87" s="2" t="s">
        <v>2599</v>
      </c>
      <c r="C87" s="2" t="s">
        <v>2600</v>
      </c>
    </row>
    <row r="88" spans="1:3">
      <c r="A88" t="s">
        <v>2598</v>
      </c>
      <c r="B88" s="2" t="s">
        <v>2601</v>
      </c>
      <c r="C88" s="2" t="s">
        <v>2602</v>
      </c>
    </row>
    <row r="89" spans="1:3">
      <c r="A89" t="s">
        <v>2598</v>
      </c>
      <c r="B89" s="2" t="s">
        <v>2603</v>
      </c>
      <c r="C89" s="2" t="s">
        <v>2604</v>
      </c>
    </row>
    <row r="90" spans="1:3">
      <c r="A90" t="s">
        <v>2598</v>
      </c>
      <c r="B90" s="2" t="s">
        <v>2603</v>
      </c>
      <c r="C90" s="2" t="s">
        <v>2605</v>
      </c>
    </row>
    <row r="91" spans="1:3">
      <c r="A91" t="s">
        <v>2598</v>
      </c>
      <c r="B91" s="2" t="s">
        <v>2606</v>
      </c>
      <c r="C91" s="2" t="s">
        <v>2607</v>
      </c>
    </row>
    <row r="92" spans="1:3">
      <c r="A92" t="s">
        <v>2595</v>
      </c>
      <c r="B92" s="2" t="s">
        <v>2608</v>
      </c>
      <c r="C92" s="32" t="s">
        <v>334</v>
      </c>
    </row>
  </sheetData>
  <hyperlinks>
    <hyperlink ref="C4" r:id="rId1" xr:uid="{0F10658E-6E32-4082-8438-EAB65B601A4C}"/>
    <hyperlink ref="C5" r:id="rId2" xr:uid="{69F5972E-35A3-4005-84D1-3432042035E6}"/>
    <hyperlink ref="C6" r:id="rId3" xr:uid="{045CFE80-CBC8-4768-A3E4-53DDB6DA09C9}"/>
    <hyperlink ref="C7" r:id="rId4" xr:uid="{AD2FEBAC-6731-42FF-A114-457847052DA7}"/>
    <hyperlink ref="C8" r:id="rId5" xr:uid="{B1FDF05B-5738-46CC-A2C3-E7AEA9618FE7}"/>
    <hyperlink ref="C9" r:id="rId6" xr:uid="{22FBF21A-D21C-41B8-BB3F-9F0BB2C20E38}"/>
    <hyperlink ref="C10" r:id="rId7" xr:uid="{78A8E066-A58D-428F-A005-34D5479C13C1}"/>
    <hyperlink ref="C11" r:id="rId8" xr:uid="{EACDB16F-9EAC-47CE-8B49-AC78EEB1250F}"/>
    <hyperlink ref="C12" r:id="rId9" xr:uid="{965F7822-F47F-4D0A-90DC-22558BD162C5}"/>
    <hyperlink ref="C13" r:id="rId10" xr:uid="{79C38BB0-C876-4F2C-9935-9C6BF5DA0D0A}"/>
    <hyperlink ref="C14" r:id="rId11" xr:uid="{C63452CA-0523-44D5-BE0E-7F5BD8C9ABB7}"/>
    <hyperlink ref="C15" r:id="rId12" xr:uid="{423560CC-E32D-42A6-9732-47D8E2ED4F7E}"/>
    <hyperlink ref="C16" r:id="rId13" xr:uid="{0C990694-BB39-4C62-A749-0DCA646B476E}"/>
    <hyperlink ref="C17" r:id="rId14" xr:uid="{E28BD125-48F2-4D4D-8DF7-1EB83A88CBAA}"/>
    <hyperlink ref="C18" r:id="rId15" xr:uid="{0B1ED90E-2862-42A0-A847-A3A7DA291F86}"/>
    <hyperlink ref="C19" r:id="rId16" xr:uid="{023475A5-E651-496B-867C-7D9FFB803261}"/>
    <hyperlink ref="C21" r:id="rId17" xr:uid="{9DDC9BAE-54B2-49CD-9333-24129698370C}"/>
    <hyperlink ref="C22" r:id="rId18" xr:uid="{891D4C07-FA09-41AC-8E4D-A92919E83BAC}"/>
    <hyperlink ref="C23" r:id="rId19" xr:uid="{A950F483-3A98-443B-9C0C-28F2F52C91F0}"/>
    <hyperlink ref="C24" r:id="rId20" xr:uid="{3BC5C579-9F59-4D65-BA96-6E0C2F71225A}"/>
    <hyperlink ref="C25" r:id="rId21" xr:uid="{F95AC5A4-72B1-42ED-A01A-32BBB4A9B87E}"/>
    <hyperlink ref="C26" r:id="rId22" xr:uid="{6CEAF331-754C-47BB-AD82-47C4F598A47F}"/>
    <hyperlink ref="C27" r:id="rId23" xr:uid="{76A86B12-BEA3-4201-BBE2-4F40A25F6D5C}"/>
    <hyperlink ref="C28" r:id="rId24" xr:uid="{93824330-35BC-4331-AB18-30CDA68A7E0C}"/>
    <hyperlink ref="C29" r:id="rId25" xr:uid="{EA8FA03A-C0C1-488F-ADF0-9FD195F2A834}"/>
    <hyperlink ref="C30" r:id="rId26" xr:uid="{5C71B0BE-4650-4EE6-9DD0-2398603B18CF}"/>
    <hyperlink ref="C31" r:id="rId27" xr:uid="{4225FBB9-0F8C-4068-A870-BB81C69EED28}"/>
    <hyperlink ref="C32" r:id="rId28" xr:uid="{8FB98919-3DC3-4E04-B889-DC02473D4FEC}"/>
    <hyperlink ref="C33" r:id="rId29" xr:uid="{2441F772-2EAA-4C2D-A060-CA360FE63C30}"/>
    <hyperlink ref="C34" r:id="rId30" xr:uid="{92E53D85-8497-4919-A862-B0385003139B}"/>
    <hyperlink ref="C35" r:id="rId31" xr:uid="{730B5137-3902-439D-95AF-4A0C84ECB613}"/>
    <hyperlink ref="C36" r:id="rId32" xr:uid="{A4CEA354-ED67-446B-A185-DD5EED7FAAC8}"/>
    <hyperlink ref="C37" r:id="rId33" xr:uid="{80D666F7-C033-4AA7-926F-A4DF620565B1}"/>
    <hyperlink ref="C38" r:id="rId34" xr:uid="{806D2CFB-6D6C-4BEC-94D0-D5B9475CCDAF}"/>
    <hyperlink ref="C39" r:id="rId35" xr:uid="{4E1E85A4-0DAC-4E05-B6F8-E4F797463B40}"/>
    <hyperlink ref="C40" r:id="rId36" xr:uid="{F0A615C2-E90D-4086-83EE-B10B696E19A0}"/>
    <hyperlink ref="C41" r:id="rId37" xr:uid="{1DAF0B9D-5983-4B4D-B5F9-D39FCE9B772B}"/>
    <hyperlink ref="C42" r:id="rId38" xr:uid="{511170A2-EB4C-4ACD-A0F1-B4E17A86610E}"/>
    <hyperlink ref="C43" r:id="rId39" xr:uid="{7F411957-AEA8-47DB-BB6E-282C7904BCEB}"/>
    <hyperlink ref="C44" r:id="rId40" xr:uid="{2E316BB2-BE53-4F57-92D2-7C9B58A3793E}"/>
    <hyperlink ref="C45" r:id="rId41" xr:uid="{2B2CECB3-DF7E-4968-9DC1-F5085FB479DB}"/>
    <hyperlink ref="C46" r:id="rId42" xr:uid="{E1D529AC-FD17-4AA1-B345-CAD4FDE9C41D}"/>
    <hyperlink ref="C47" r:id="rId43" xr:uid="{324A1E36-CB99-41EE-BC89-1BAC9F148DB1}"/>
    <hyperlink ref="C48" r:id="rId44" xr:uid="{EB6BEDB4-6D8D-4F36-8DC2-5CF235187DC7}"/>
    <hyperlink ref="C49" r:id="rId45" xr:uid="{BC6AB0A0-4E26-429C-BAA3-5CD654776FD9}"/>
    <hyperlink ref="C50" r:id="rId46" xr:uid="{9262E024-DBFC-445C-A37B-43B8AB62221D}"/>
    <hyperlink ref="C51" r:id="rId47" xr:uid="{8C71FB07-A54F-4743-AACE-261239525048}"/>
    <hyperlink ref="C52" r:id="rId48" xr:uid="{C17733D7-372C-4254-A98B-2863BABCE800}"/>
    <hyperlink ref="C53" r:id="rId49" xr:uid="{0C19C8E4-2CBA-4B8B-A737-90F62B1DA754}"/>
    <hyperlink ref="C54" r:id="rId50" xr:uid="{B046DD18-9017-44D2-8122-946FDEDCEA34}"/>
    <hyperlink ref="C55" r:id="rId51" xr:uid="{1ADA30CE-5EA5-4C69-988C-7666832BC233}"/>
    <hyperlink ref="C56" r:id="rId52" xr:uid="{CFF5F329-7EC5-4211-A718-0494A24C2D70}"/>
    <hyperlink ref="C57" r:id="rId53" xr:uid="{8C096910-BE48-4404-930E-9C2D271C9072}"/>
    <hyperlink ref="C58" r:id="rId54" xr:uid="{BA55B9E3-5044-4391-A1AB-59B4F0089569}"/>
    <hyperlink ref="C59" r:id="rId55" xr:uid="{EE61D9BC-923F-442D-9BC0-4D72A915961D}"/>
    <hyperlink ref="C60" r:id="rId56" xr:uid="{C96BE55F-D0C9-42B2-A4C2-5557D661A783}"/>
    <hyperlink ref="C61" r:id="rId57" xr:uid="{400B4E65-412C-46E7-A2B3-3E1EAD31FACC}"/>
    <hyperlink ref="C62" r:id="rId58" xr:uid="{8AD96E4E-CB5F-4FC7-81B1-2C3D9C678E13}"/>
    <hyperlink ref="C63" r:id="rId59" xr:uid="{0683B54F-7C45-44C6-A987-48E9AE993625}"/>
    <hyperlink ref="C64" r:id="rId60" xr:uid="{6FF778BA-3082-46DC-8613-7BF16B0618F6}"/>
    <hyperlink ref="C65" r:id="rId61" xr:uid="{2CA870FF-CEC0-4D42-A709-0A662723E0C9}"/>
    <hyperlink ref="C66" r:id="rId62" xr:uid="{D43D4E95-DD3A-4DEE-8667-91BE7E9E5159}"/>
    <hyperlink ref="C67" r:id="rId63" xr:uid="{66A85ED3-4F1A-45BF-9DD8-B2C500473874}"/>
    <hyperlink ref="C68" r:id="rId64" xr:uid="{43A1C7D9-7593-4F88-8A89-EC8A1C478F0A}"/>
    <hyperlink ref="C69" r:id="rId65" xr:uid="{768CAB1C-8772-4C7B-A543-D9B615E7BA23}"/>
    <hyperlink ref="C70" r:id="rId66" xr:uid="{28FB674F-2306-4A26-A757-44BB57A667B2}"/>
    <hyperlink ref="C71" r:id="rId67" xr:uid="{C01E0287-243F-450C-9B3F-0B7DA327A0DB}"/>
    <hyperlink ref="C72" r:id="rId68" xr:uid="{BD4F7DB9-EB09-4E1A-8A3D-01A71432E917}"/>
    <hyperlink ref="C73" r:id="rId69" xr:uid="{166A4695-6400-4F1D-B9E6-F1D18242D21D}"/>
    <hyperlink ref="C74" r:id="rId70" xr:uid="{D732BBBB-474C-494B-B68A-CE5D9FDC8251}"/>
    <hyperlink ref="C75" r:id="rId71" xr:uid="{E2DFC5D4-445A-4349-AB01-2E32F7A091F3}"/>
    <hyperlink ref="C76" r:id="rId72" xr:uid="{2EF44B64-8F7B-44D6-862A-5FC7CD21B411}"/>
    <hyperlink ref="C77" r:id="rId73" xr:uid="{F2AD9D49-478E-42A7-B42C-E709EACC0E4C}"/>
    <hyperlink ref="C78" r:id="rId74" xr:uid="{375A6D46-5810-4D74-B98F-8E2B8A256E4E}"/>
    <hyperlink ref="C79" r:id="rId75" xr:uid="{6439716F-E2EC-407D-9EEB-C66E35F237CE}"/>
    <hyperlink ref="C80" r:id="rId76" xr:uid="{16107EB1-C10B-4518-89BF-C1510B16AB0B}"/>
    <hyperlink ref="C81" r:id="rId77" xr:uid="{22A9B4ED-F703-4C12-8122-E1DE2FB4F5CF}"/>
    <hyperlink ref="C82" r:id="rId78" xr:uid="{42980FE1-FC60-4704-8DB2-0640ACC6E57D}"/>
    <hyperlink ref="C83" r:id="rId79" xr:uid="{80A1180D-1154-47CB-B383-8DF455AB9CFF}"/>
    <hyperlink ref="C84" r:id="rId80" xr:uid="{D5DEA439-813F-4A9B-A444-3416225C477F}"/>
    <hyperlink ref="C85" r:id="rId81" xr:uid="{6B8DBA2E-6951-4EBE-80AC-B6A565A450E5}"/>
    <hyperlink ref="C86" r:id="rId82" xr:uid="{41C1AE82-6DB9-4884-AD68-E52B9500B9AF}"/>
    <hyperlink ref="C20" r:id="rId83" xr:uid="{C7241D27-B541-47BB-B4F7-3EDFD47F3676}"/>
    <hyperlink ref="C92" r:id="rId84" xr:uid="{7DE68B95-1D6F-4607-B667-7890B78114BE}"/>
  </hyperlinks>
  <pageMargins left="0.7" right="0.7" top="0.75" bottom="0.75" header="0.3" footer="0.3"/>
  <tableParts count="1">
    <tablePart r:id="rId8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75FF-07A0-4404-A99F-882C3F048418}">
  <dimension ref="A1:F12"/>
  <sheetViews>
    <sheetView workbookViewId="0">
      <selection activeCell="F1" sqref="A1:F1"/>
    </sheetView>
  </sheetViews>
  <sheetFormatPr defaultColWidth="11.42578125" defaultRowHeight="15"/>
  <cols>
    <col min="1" max="1" width="6.5703125" customWidth="1"/>
    <col min="2" max="2" width="19.7109375" bestFit="1" customWidth="1"/>
    <col min="3" max="3" width="31.28515625" style="7" customWidth="1"/>
    <col min="4" max="4" width="21.42578125" customWidth="1"/>
    <col min="5" max="5" width="14.7109375" customWidth="1"/>
    <col min="6" max="6" width="22.42578125" customWidth="1"/>
  </cols>
  <sheetData>
    <row r="1" spans="1:6" s="19" customFormat="1" ht="35.25">
      <c r="A1" s="18" t="s">
        <v>82</v>
      </c>
      <c r="B1" s="18" t="s">
        <v>9</v>
      </c>
      <c r="C1" s="24" t="s">
        <v>2609</v>
      </c>
      <c r="D1" s="18" t="s">
        <v>2610</v>
      </c>
      <c r="E1" s="18" t="s">
        <v>86</v>
      </c>
      <c r="F1" s="18" t="s">
        <v>2611</v>
      </c>
    </row>
    <row r="2" spans="1:6">
      <c r="A2" s="2">
        <v>1</v>
      </c>
      <c r="B2" s="2" t="s">
        <v>762</v>
      </c>
      <c r="C2" s="25" t="s">
        <v>2612</v>
      </c>
      <c r="D2" s="2">
        <v>942115866</v>
      </c>
      <c r="E2" s="2" t="s">
        <v>2613</v>
      </c>
      <c r="F2" s="2" t="s">
        <v>2614</v>
      </c>
    </row>
    <row r="3" spans="1:6">
      <c r="A3" s="2">
        <v>2</v>
      </c>
      <c r="B3" s="2" t="s">
        <v>268</v>
      </c>
      <c r="C3" s="26" t="s">
        <v>2615</v>
      </c>
      <c r="D3" s="2">
        <v>995420657</v>
      </c>
      <c r="E3" s="2" t="s">
        <v>2613</v>
      </c>
      <c r="F3" s="2" t="s">
        <v>2614</v>
      </c>
    </row>
    <row r="4" spans="1:6">
      <c r="A4" s="2">
        <v>3</v>
      </c>
      <c r="B4" s="2" t="s">
        <v>480</v>
      </c>
      <c r="C4" s="26" t="s">
        <v>2616</v>
      </c>
      <c r="D4" s="2">
        <v>965722402</v>
      </c>
      <c r="E4" s="2" t="s">
        <v>2613</v>
      </c>
      <c r="F4" s="2" t="s">
        <v>2617</v>
      </c>
    </row>
    <row r="5" spans="1:6">
      <c r="A5" s="2">
        <v>4</v>
      </c>
      <c r="B5" s="2" t="s">
        <v>95</v>
      </c>
      <c r="C5" s="26" t="s">
        <v>2618</v>
      </c>
      <c r="D5" s="2">
        <v>965722676</v>
      </c>
      <c r="E5" s="2" t="s">
        <v>2613</v>
      </c>
      <c r="F5" s="2" t="s">
        <v>2617</v>
      </c>
    </row>
    <row r="6" spans="1:6">
      <c r="A6" s="2">
        <v>5</v>
      </c>
      <c r="B6" s="2" t="s">
        <v>1339</v>
      </c>
      <c r="C6" s="26" t="s">
        <v>2619</v>
      </c>
      <c r="D6" s="2">
        <v>942122263</v>
      </c>
      <c r="E6" s="2" t="s">
        <v>2613</v>
      </c>
      <c r="F6" s="2" t="s">
        <v>2614</v>
      </c>
    </row>
    <row r="7" spans="1:6">
      <c r="A7" s="2">
        <v>6</v>
      </c>
      <c r="B7" s="2" t="s">
        <v>434</v>
      </c>
      <c r="C7" s="26" t="s">
        <v>2620</v>
      </c>
      <c r="D7" s="2">
        <v>992674712</v>
      </c>
      <c r="E7" s="2" t="s">
        <v>2613</v>
      </c>
      <c r="F7" s="2" t="s">
        <v>2617</v>
      </c>
    </row>
    <row r="8" spans="1:6">
      <c r="A8" s="2">
        <v>7</v>
      </c>
      <c r="B8" s="2" t="s">
        <v>2621</v>
      </c>
      <c r="C8" s="26" t="s">
        <v>2622</v>
      </c>
      <c r="D8" s="2">
        <v>992674915</v>
      </c>
      <c r="E8" s="2" t="s">
        <v>2613</v>
      </c>
      <c r="F8" s="2" t="s">
        <v>2617</v>
      </c>
    </row>
    <row r="9" spans="1:6">
      <c r="A9" s="2">
        <v>8</v>
      </c>
      <c r="B9" s="2" t="s">
        <v>426</v>
      </c>
      <c r="C9" s="26" t="s">
        <v>2623</v>
      </c>
      <c r="D9" s="2">
        <v>950556012</v>
      </c>
      <c r="E9" s="2" t="s">
        <v>108</v>
      </c>
      <c r="F9" s="2" t="s">
        <v>2614</v>
      </c>
    </row>
    <row r="10" spans="1:6">
      <c r="A10" s="2">
        <v>9</v>
      </c>
      <c r="B10" s="2" t="s">
        <v>426</v>
      </c>
      <c r="C10" s="26" t="s">
        <v>2624</v>
      </c>
      <c r="D10" s="2">
        <v>950556012</v>
      </c>
      <c r="E10" s="2" t="s">
        <v>2613</v>
      </c>
      <c r="F10" s="2" t="s">
        <v>2614</v>
      </c>
    </row>
    <row r="11" spans="1:6">
      <c r="A11" s="2">
        <v>10</v>
      </c>
      <c r="B11" s="2" t="s">
        <v>685</v>
      </c>
      <c r="C11" s="26" t="s">
        <v>2625</v>
      </c>
      <c r="D11" s="2">
        <v>987864314</v>
      </c>
      <c r="E11" s="2" t="s">
        <v>2613</v>
      </c>
      <c r="F11" s="2" t="s">
        <v>2617</v>
      </c>
    </row>
    <row r="12" spans="1:6">
      <c r="A12" s="2">
        <v>11</v>
      </c>
      <c r="B12" s="2" t="s">
        <v>1355</v>
      </c>
      <c r="C12" s="26" t="s">
        <v>2626</v>
      </c>
      <c r="D12" s="2">
        <v>987864336</v>
      </c>
      <c r="E12" s="2" t="s">
        <v>2613</v>
      </c>
      <c r="F12" s="2" t="s">
        <v>2617</v>
      </c>
    </row>
  </sheetData>
  <conditionalFormatting sqref="E2:E12">
    <cfRule type="cellIs" dxfId="59" priority="3" operator="equal">
      <formula>"-"</formula>
    </cfRule>
    <cfRule type="cellIs" dxfId="58" priority="4" operator="equal">
      <formula>"DISPONIBLE"</formula>
    </cfRule>
    <cfRule type="cellIs" dxfId="57" priority="5" operator="equal">
      <formula>"EN USO"</formula>
    </cfRule>
  </conditionalFormatting>
  <conditionalFormatting sqref="F2:F12">
    <cfRule type="cellIs" dxfId="56" priority="1" operator="equal">
      <formula>"REPOSICIÓN"</formula>
    </cfRule>
    <cfRule type="cellIs" dxfId="55" priority="2" operator="equal">
      <formula>"NUEVO"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56A39-2F00-4E06-93A5-324CA79CF543}">
  <dimension ref="A1:M21"/>
  <sheetViews>
    <sheetView topLeftCell="K1" workbookViewId="0">
      <selection activeCell="B12" sqref="B12"/>
    </sheetView>
  </sheetViews>
  <sheetFormatPr defaultColWidth="11.42578125" defaultRowHeight="15"/>
  <cols>
    <col min="1" max="1" width="7.28515625" style="2" customWidth="1"/>
    <col min="2" max="2" width="30" style="2" bestFit="1" customWidth="1"/>
    <col min="3" max="3" width="14.7109375" style="2" customWidth="1"/>
    <col min="4" max="4" width="12.7109375" style="2" customWidth="1"/>
    <col min="5" max="5" width="21.42578125" style="2" customWidth="1"/>
    <col min="6" max="7" width="11.42578125" style="2"/>
    <col min="8" max="8" width="23" style="2" bestFit="1" customWidth="1"/>
    <col min="9" max="9" width="18.7109375" style="6" bestFit="1" customWidth="1"/>
    <col min="10" max="10" width="19.28515625" style="6" customWidth="1"/>
    <col min="11" max="11" width="26.140625" style="2" customWidth="1"/>
    <col min="12" max="12" width="16.5703125" style="2" customWidth="1"/>
    <col min="13" max="13" width="23.140625" style="2" customWidth="1"/>
  </cols>
  <sheetData>
    <row r="1" spans="1:13" s="19" customFormat="1" ht="35.25">
      <c r="A1" s="18" t="s">
        <v>82</v>
      </c>
      <c r="B1" s="18" t="s">
        <v>9</v>
      </c>
      <c r="C1" s="18" t="s">
        <v>1144</v>
      </c>
      <c r="D1" s="18" t="s">
        <v>87</v>
      </c>
      <c r="E1" s="18" t="s">
        <v>2610</v>
      </c>
      <c r="F1" s="18" t="s">
        <v>2627</v>
      </c>
      <c r="G1" s="18" t="s">
        <v>1146</v>
      </c>
      <c r="H1" s="18" t="s">
        <v>1147</v>
      </c>
      <c r="I1" s="24" t="s">
        <v>1148</v>
      </c>
      <c r="J1" s="24" t="s">
        <v>1362</v>
      </c>
      <c r="K1" s="18" t="s">
        <v>2628</v>
      </c>
      <c r="L1" s="18" t="s">
        <v>1156</v>
      </c>
      <c r="M1" s="18" t="s">
        <v>2629</v>
      </c>
    </row>
    <row r="2" spans="1:13">
      <c r="A2" s="2">
        <v>1</v>
      </c>
      <c r="B2" s="2" t="s">
        <v>2630</v>
      </c>
      <c r="C2" s="2" t="s">
        <v>71</v>
      </c>
      <c r="D2" s="2" t="s">
        <v>22</v>
      </c>
      <c r="E2" s="2">
        <v>977747205</v>
      </c>
      <c r="F2" s="2" t="s">
        <v>2631</v>
      </c>
      <c r="G2" s="2" t="s">
        <v>2632</v>
      </c>
      <c r="H2" s="2" t="s">
        <v>2633</v>
      </c>
      <c r="I2" s="6">
        <v>862698066806918</v>
      </c>
      <c r="J2" s="6">
        <v>320335510200</v>
      </c>
      <c r="K2" s="3">
        <v>45275</v>
      </c>
      <c r="L2" s="2" t="s">
        <v>1166</v>
      </c>
      <c r="M2" s="2" t="s">
        <v>53</v>
      </c>
    </row>
    <row r="3" spans="1:13">
      <c r="A3" s="2">
        <v>2</v>
      </c>
      <c r="B3" s="2" t="s">
        <v>189</v>
      </c>
      <c r="C3" s="2" t="s">
        <v>71</v>
      </c>
      <c r="D3" s="2" t="s">
        <v>22</v>
      </c>
      <c r="E3" s="2">
        <v>981176846</v>
      </c>
      <c r="F3" s="2" t="s">
        <v>2631</v>
      </c>
      <c r="G3" s="2" t="s">
        <v>2632</v>
      </c>
      <c r="H3" s="2" t="s">
        <v>2633</v>
      </c>
      <c r="I3" s="6">
        <v>862698066809110</v>
      </c>
      <c r="J3" s="6">
        <v>320335510420</v>
      </c>
      <c r="K3" s="3">
        <v>45246</v>
      </c>
      <c r="L3" s="2" t="s">
        <v>1166</v>
      </c>
      <c r="M3" s="2" t="s">
        <v>2634</v>
      </c>
    </row>
    <row r="4" spans="1:13">
      <c r="A4" s="2">
        <v>3</v>
      </c>
      <c r="B4" s="2" t="s">
        <v>289</v>
      </c>
      <c r="C4" s="2" t="s">
        <v>71</v>
      </c>
      <c r="D4" s="2" t="s">
        <v>22</v>
      </c>
      <c r="E4" s="2">
        <v>970536697</v>
      </c>
      <c r="F4" s="2" t="s">
        <v>2631</v>
      </c>
      <c r="G4" s="2" t="s">
        <v>2632</v>
      </c>
      <c r="H4" s="2" t="s">
        <v>2633</v>
      </c>
      <c r="I4" s="6">
        <v>862398066278340</v>
      </c>
      <c r="J4" s="6">
        <v>320135149827</v>
      </c>
      <c r="K4" s="3">
        <v>45275</v>
      </c>
      <c r="L4" s="2" t="s">
        <v>1166</v>
      </c>
      <c r="M4" s="2" t="s">
        <v>108</v>
      </c>
    </row>
    <row r="5" spans="1:13">
      <c r="A5" s="2">
        <v>4</v>
      </c>
      <c r="B5" s="2" t="s">
        <v>392</v>
      </c>
      <c r="C5" s="2" t="s">
        <v>71</v>
      </c>
      <c r="D5" s="2" t="s">
        <v>22</v>
      </c>
      <c r="E5" s="2">
        <v>973210878</v>
      </c>
      <c r="F5" s="2" t="s">
        <v>2631</v>
      </c>
      <c r="G5" s="2" t="s">
        <v>2632</v>
      </c>
      <c r="H5" s="2" t="s">
        <v>2633</v>
      </c>
      <c r="I5" s="6">
        <v>862698067560480</v>
      </c>
      <c r="J5" s="6">
        <v>320135829840</v>
      </c>
      <c r="K5" s="3">
        <v>45275</v>
      </c>
      <c r="L5" s="2" t="s">
        <v>1166</v>
      </c>
      <c r="M5" s="2" t="s">
        <v>108</v>
      </c>
    </row>
    <row r="6" spans="1:13">
      <c r="A6" s="2">
        <v>5</v>
      </c>
      <c r="B6" s="2" t="s">
        <v>458</v>
      </c>
      <c r="C6" s="2" t="s">
        <v>71</v>
      </c>
      <c r="D6" s="2" t="s">
        <v>22</v>
      </c>
      <c r="E6" s="2">
        <v>953200189</v>
      </c>
      <c r="F6" s="2" t="s">
        <v>2631</v>
      </c>
      <c r="G6" s="2" t="s">
        <v>2632</v>
      </c>
      <c r="H6" s="2" t="s">
        <v>2633</v>
      </c>
      <c r="I6" s="6">
        <v>862698066796523</v>
      </c>
      <c r="J6" s="6">
        <v>320235519160</v>
      </c>
      <c r="K6" s="3">
        <v>45275</v>
      </c>
      <c r="L6" s="2" t="s">
        <v>1166</v>
      </c>
      <c r="M6" s="2" t="s">
        <v>108</v>
      </c>
    </row>
    <row r="7" spans="1:13">
      <c r="A7" s="2">
        <v>6</v>
      </c>
      <c r="B7" s="2" t="s">
        <v>519</v>
      </c>
      <c r="C7" s="2" t="s">
        <v>71</v>
      </c>
      <c r="D7" s="2" t="s">
        <v>22</v>
      </c>
      <c r="E7" s="2">
        <v>960140875</v>
      </c>
      <c r="F7" s="2" t="s">
        <v>2631</v>
      </c>
      <c r="G7" s="2" t="s">
        <v>2632</v>
      </c>
      <c r="H7" s="2" t="s">
        <v>2633</v>
      </c>
      <c r="I7" s="6">
        <v>862698066279124</v>
      </c>
      <c r="J7" s="6">
        <v>320135149905</v>
      </c>
      <c r="K7" s="3">
        <v>45302</v>
      </c>
      <c r="L7" s="2" t="s">
        <v>1166</v>
      </c>
      <c r="M7" s="2" t="s">
        <v>108</v>
      </c>
    </row>
    <row r="8" spans="1:13">
      <c r="A8" s="2">
        <v>7</v>
      </c>
      <c r="B8" s="2" t="s">
        <v>632</v>
      </c>
      <c r="C8" s="2" t="s">
        <v>71</v>
      </c>
      <c r="D8" s="2" t="s">
        <v>22</v>
      </c>
      <c r="E8" s="2">
        <v>960585970</v>
      </c>
      <c r="F8" s="2" t="s">
        <v>2631</v>
      </c>
      <c r="G8" s="2" t="s">
        <v>2632</v>
      </c>
      <c r="H8" s="2" t="s">
        <v>2633</v>
      </c>
      <c r="I8" s="6">
        <v>862698067560472</v>
      </c>
      <c r="J8" s="6">
        <v>320135829839</v>
      </c>
      <c r="K8" s="3">
        <v>45302</v>
      </c>
      <c r="L8" s="2" t="s">
        <v>1166</v>
      </c>
      <c r="M8" s="2" t="s">
        <v>108</v>
      </c>
    </row>
    <row r="9" spans="1:13">
      <c r="A9" s="2">
        <v>8</v>
      </c>
      <c r="B9" s="2" t="s">
        <v>705</v>
      </c>
      <c r="C9" s="2" t="s">
        <v>71</v>
      </c>
      <c r="D9" s="2" t="s">
        <v>22</v>
      </c>
      <c r="E9" s="2">
        <v>956326171</v>
      </c>
      <c r="F9" s="2" t="s">
        <v>2631</v>
      </c>
      <c r="G9" s="2" t="s">
        <v>2632</v>
      </c>
      <c r="H9" s="2" t="s">
        <v>2633</v>
      </c>
      <c r="I9" s="6">
        <v>862698067546331</v>
      </c>
      <c r="J9" s="6">
        <v>320135828425</v>
      </c>
      <c r="K9" s="3">
        <v>45302</v>
      </c>
      <c r="L9" s="2" t="s">
        <v>1166</v>
      </c>
      <c r="M9" s="2" t="s">
        <v>108</v>
      </c>
    </row>
    <row r="10" spans="1:13">
      <c r="A10" s="2">
        <v>9</v>
      </c>
      <c r="B10" s="2" t="s">
        <v>758</v>
      </c>
      <c r="C10" s="2" t="s">
        <v>71</v>
      </c>
      <c r="D10" s="2" t="s">
        <v>22</v>
      </c>
      <c r="E10" s="2">
        <v>973210925</v>
      </c>
      <c r="F10" s="2" t="s">
        <v>2631</v>
      </c>
      <c r="G10" s="2" t="s">
        <v>2632</v>
      </c>
      <c r="H10" s="2" t="s">
        <v>2633</v>
      </c>
      <c r="I10" s="6">
        <v>862698066788116</v>
      </c>
      <c r="J10" s="6">
        <v>320235518319</v>
      </c>
      <c r="K10" s="3">
        <v>45302</v>
      </c>
      <c r="L10" s="2" t="s">
        <v>1166</v>
      </c>
      <c r="M10" s="2" t="s">
        <v>108</v>
      </c>
    </row>
    <row r="11" spans="1:13">
      <c r="A11" s="2">
        <v>10</v>
      </c>
      <c r="B11" s="2" t="s">
        <v>2635</v>
      </c>
      <c r="C11" s="2" t="s">
        <v>71</v>
      </c>
      <c r="D11" s="2" t="s">
        <v>27</v>
      </c>
      <c r="E11" s="2">
        <v>981110189</v>
      </c>
      <c r="F11" s="2" t="s">
        <v>2636</v>
      </c>
      <c r="G11" s="2" t="s">
        <v>2632</v>
      </c>
      <c r="H11" s="2" t="s">
        <v>2637</v>
      </c>
      <c r="I11" s="6">
        <v>863026070978540</v>
      </c>
      <c r="J11" s="6">
        <v>324451910082</v>
      </c>
      <c r="K11" s="3">
        <v>46044</v>
      </c>
      <c r="L11" s="2" t="s">
        <v>1184</v>
      </c>
      <c r="M11" s="2" t="s">
        <v>108</v>
      </c>
    </row>
    <row r="12" spans="1:13">
      <c r="A12" s="2">
        <v>11</v>
      </c>
      <c r="B12" s="2" t="s">
        <v>719</v>
      </c>
      <c r="C12" s="2" t="s">
        <v>71</v>
      </c>
      <c r="D12" s="2" t="s">
        <v>27</v>
      </c>
      <c r="E12" s="2">
        <v>923701174</v>
      </c>
      <c r="F12" s="2" t="s">
        <v>2636</v>
      </c>
      <c r="G12" s="2" t="s">
        <v>2632</v>
      </c>
      <c r="H12" s="2" t="s">
        <v>2638</v>
      </c>
      <c r="I12" s="6">
        <v>863026070981833</v>
      </c>
      <c r="J12" s="6">
        <v>324451910411</v>
      </c>
      <c r="K12" s="3">
        <v>46044</v>
      </c>
      <c r="L12" s="2" t="s">
        <v>1184</v>
      </c>
      <c r="M12" s="2" t="s">
        <v>108</v>
      </c>
    </row>
    <row r="13" spans="1:13">
      <c r="A13" s="2">
        <v>12</v>
      </c>
      <c r="B13" s="2" t="s">
        <v>573</v>
      </c>
      <c r="C13" s="2" t="s">
        <v>71</v>
      </c>
      <c r="D13" s="2" t="s">
        <v>27</v>
      </c>
      <c r="E13" s="2">
        <v>972143609</v>
      </c>
      <c r="F13" s="2" t="s">
        <v>2636</v>
      </c>
      <c r="G13" s="2" t="s">
        <v>2632</v>
      </c>
      <c r="H13" s="2" t="s">
        <v>2638</v>
      </c>
      <c r="I13" s="6">
        <v>863026070981262</v>
      </c>
      <c r="J13" s="6">
        <v>324451910354</v>
      </c>
      <c r="K13" s="3">
        <v>46044</v>
      </c>
      <c r="L13" s="2" t="s">
        <v>1184</v>
      </c>
      <c r="M13" s="2" t="s">
        <v>108</v>
      </c>
    </row>
    <row r="14" spans="1:13">
      <c r="A14" s="2">
        <v>13</v>
      </c>
      <c r="B14" s="2" t="s">
        <v>498</v>
      </c>
      <c r="C14" s="2" t="s">
        <v>71</v>
      </c>
      <c r="D14" s="2" t="s">
        <v>27</v>
      </c>
      <c r="E14" s="2">
        <v>923069891</v>
      </c>
      <c r="F14" s="2" t="s">
        <v>2636</v>
      </c>
      <c r="G14" s="2" t="s">
        <v>2632</v>
      </c>
      <c r="H14" s="2" t="s">
        <v>2638</v>
      </c>
      <c r="I14" s="6">
        <v>863026070981171</v>
      </c>
      <c r="J14" s="6">
        <v>324451910345</v>
      </c>
      <c r="K14" s="3">
        <v>46044</v>
      </c>
      <c r="L14" s="2" t="s">
        <v>1184</v>
      </c>
      <c r="M14" s="2" t="s">
        <v>108</v>
      </c>
    </row>
    <row r="15" spans="1:13">
      <c r="A15" s="2">
        <v>14</v>
      </c>
      <c r="B15" s="2" t="s">
        <v>663</v>
      </c>
      <c r="C15" s="2" t="s">
        <v>71</v>
      </c>
      <c r="D15" s="2" t="s">
        <v>27</v>
      </c>
      <c r="E15" s="2">
        <v>902070591</v>
      </c>
      <c r="F15" s="2" t="s">
        <v>2636</v>
      </c>
      <c r="G15" s="2" t="s">
        <v>2632</v>
      </c>
      <c r="H15" s="2" t="s">
        <v>2638</v>
      </c>
      <c r="I15" s="6">
        <v>863026070981460</v>
      </c>
      <c r="J15" s="6">
        <v>324451910374</v>
      </c>
      <c r="K15" s="3">
        <v>46044</v>
      </c>
      <c r="L15" s="2" t="s">
        <v>1184</v>
      </c>
      <c r="M15" s="2" t="s">
        <v>108</v>
      </c>
    </row>
    <row r="16" spans="1:13">
      <c r="A16" s="2">
        <v>15</v>
      </c>
      <c r="B16" s="2" t="s">
        <v>232</v>
      </c>
      <c r="C16" s="2" t="s">
        <v>71</v>
      </c>
      <c r="D16" s="2" t="s">
        <v>27</v>
      </c>
      <c r="E16" s="2">
        <v>926732564</v>
      </c>
      <c r="F16" s="2" t="s">
        <v>2636</v>
      </c>
      <c r="G16" s="2" t="s">
        <v>2632</v>
      </c>
      <c r="H16" s="2" t="s">
        <v>2638</v>
      </c>
      <c r="I16" s="6">
        <v>863026070978516</v>
      </c>
      <c r="J16" s="6">
        <v>324451910079</v>
      </c>
      <c r="K16" s="3">
        <v>46044</v>
      </c>
      <c r="L16" s="2" t="s">
        <v>1184</v>
      </c>
      <c r="M16" s="2" t="s">
        <v>108</v>
      </c>
    </row>
    <row r="17" spans="1:13">
      <c r="A17" s="2">
        <v>16</v>
      </c>
      <c r="B17" s="2" t="s">
        <v>126</v>
      </c>
      <c r="C17" s="2" t="s">
        <v>71</v>
      </c>
      <c r="D17" s="2" t="s">
        <v>27</v>
      </c>
      <c r="E17" s="2">
        <v>972163327</v>
      </c>
      <c r="F17" s="2" t="s">
        <v>2636</v>
      </c>
      <c r="G17" s="2" t="s">
        <v>2632</v>
      </c>
      <c r="H17" s="2" t="s">
        <v>2638</v>
      </c>
      <c r="I17" s="6">
        <v>863026070982252</v>
      </c>
      <c r="J17" s="6">
        <v>324451910453</v>
      </c>
      <c r="K17" s="3">
        <v>46044</v>
      </c>
      <c r="L17" s="2" t="s">
        <v>1184</v>
      </c>
      <c r="M17" s="2" t="s">
        <v>108</v>
      </c>
    </row>
    <row r="18" spans="1:13">
      <c r="A18" s="2">
        <v>17</v>
      </c>
      <c r="B18" s="2" t="s">
        <v>537</v>
      </c>
      <c r="C18" s="2" t="s">
        <v>71</v>
      </c>
      <c r="D18" s="2" t="s">
        <v>27</v>
      </c>
      <c r="E18" s="2">
        <v>923819978</v>
      </c>
      <c r="F18" s="2" t="s">
        <v>2636</v>
      </c>
      <c r="G18" s="2" t="s">
        <v>2632</v>
      </c>
      <c r="H18" s="2" t="s">
        <v>2638</v>
      </c>
      <c r="I18" s="6">
        <v>863026070978342</v>
      </c>
      <c r="J18" s="6">
        <v>324451910062</v>
      </c>
      <c r="K18" s="3">
        <v>46044</v>
      </c>
      <c r="L18" s="2" t="s">
        <v>1184</v>
      </c>
      <c r="M18" s="2" t="s">
        <v>108</v>
      </c>
    </row>
    <row r="19" spans="1:13">
      <c r="A19" s="2">
        <v>18</v>
      </c>
      <c r="B19" s="2" t="s">
        <v>2639</v>
      </c>
      <c r="C19" s="2" t="s">
        <v>71</v>
      </c>
      <c r="D19" s="2" t="s">
        <v>27</v>
      </c>
      <c r="E19" s="2">
        <v>924600443</v>
      </c>
      <c r="F19" s="2" t="s">
        <v>2636</v>
      </c>
      <c r="G19" s="2" t="s">
        <v>2632</v>
      </c>
      <c r="H19" s="2" t="s">
        <v>2638</v>
      </c>
      <c r="I19" s="6">
        <v>863026070980496</v>
      </c>
      <c r="J19" s="6">
        <v>324451910277</v>
      </c>
      <c r="K19" s="3">
        <v>46044</v>
      </c>
      <c r="L19" s="2" t="s">
        <v>1184</v>
      </c>
      <c r="M19" s="2" t="s">
        <v>108</v>
      </c>
    </row>
    <row r="20" spans="1:13">
      <c r="A20" s="2">
        <v>19</v>
      </c>
      <c r="B20" s="2" t="s">
        <v>27</v>
      </c>
      <c r="C20" s="2" t="s">
        <v>72</v>
      </c>
      <c r="D20" s="2" t="s">
        <v>27</v>
      </c>
      <c r="E20" s="2" t="s">
        <v>108</v>
      </c>
      <c r="F20" s="2" t="s">
        <v>108</v>
      </c>
      <c r="G20" s="2" t="s">
        <v>1285</v>
      </c>
      <c r="H20" s="2" t="s">
        <v>2640</v>
      </c>
      <c r="I20" s="6">
        <v>861710040969695</v>
      </c>
      <c r="J20" s="6" t="s">
        <v>2641</v>
      </c>
      <c r="K20" s="3">
        <v>44043</v>
      </c>
      <c r="L20" s="2" t="s">
        <v>108</v>
      </c>
      <c r="M20" s="2" t="s">
        <v>108</v>
      </c>
    </row>
    <row r="21" spans="1:13">
      <c r="A21" s="2">
        <v>20</v>
      </c>
      <c r="B21" s="2" t="s">
        <v>27</v>
      </c>
      <c r="C21" s="2" t="s">
        <v>72</v>
      </c>
      <c r="D21" s="2" t="s">
        <v>27</v>
      </c>
      <c r="E21" s="2">
        <v>871204300</v>
      </c>
      <c r="F21" s="2" t="s">
        <v>2642</v>
      </c>
      <c r="G21" s="2" t="s">
        <v>2643</v>
      </c>
      <c r="H21" s="2" t="s">
        <v>2644</v>
      </c>
      <c r="I21" s="6">
        <v>358890860076803</v>
      </c>
      <c r="J21" s="6" t="s">
        <v>2645</v>
      </c>
      <c r="K21" s="3">
        <v>46235</v>
      </c>
      <c r="L21" s="2" t="s">
        <v>1166</v>
      </c>
      <c r="M21" s="2" t="s">
        <v>108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5BB15-3DCE-4832-9204-9326E3F8EFEA}">
  <dimension ref="A1:E85"/>
  <sheetViews>
    <sheetView zoomScaleNormal="100" workbookViewId="0">
      <selection activeCell="D16" sqref="D16"/>
    </sheetView>
  </sheetViews>
  <sheetFormatPr defaultColWidth="11.42578125" defaultRowHeight="15"/>
  <cols>
    <col min="1" max="1" width="26.42578125" style="6" customWidth="1"/>
    <col min="2" max="2" width="13.28515625" customWidth="1"/>
    <col min="3" max="3" width="13.7109375" customWidth="1"/>
    <col min="4" max="4" width="12.42578125" customWidth="1"/>
    <col min="5" max="5" width="12.85546875" customWidth="1"/>
  </cols>
  <sheetData>
    <row r="1" spans="1:5" s="19" customFormat="1" ht="18.75">
      <c r="A1" s="24" t="s">
        <v>2646</v>
      </c>
      <c r="B1" s="18" t="s">
        <v>1147</v>
      </c>
      <c r="C1" s="18" t="s">
        <v>86</v>
      </c>
      <c r="D1" s="18" t="s">
        <v>2647</v>
      </c>
      <c r="E1" s="18" t="s">
        <v>2648</v>
      </c>
    </row>
    <row r="2" spans="1:5">
      <c r="A2" s="6" t="s">
        <v>2649</v>
      </c>
      <c r="B2" s="2" t="s">
        <v>77</v>
      </c>
      <c r="C2" s="2" t="s">
        <v>80</v>
      </c>
      <c r="D2" s="2" t="s">
        <v>108</v>
      </c>
      <c r="E2" s="2" t="s">
        <v>108</v>
      </c>
    </row>
    <row r="3" spans="1:5">
      <c r="A3" s="6" t="s">
        <v>2650</v>
      </c>
      <c r="B3" s="2" t="s">
        <v>77</v>
      </c>
      <c r="C3" s="2" t="s">
        <v>80</v>
      </c>
      <c r="D3" s="2" t="s">
        <v>108</v>
      </c>
      <c r="E3" s="2" t="s">
        <v>108</v>
      </c>
    </row>
    <row r="4" spans="1:5">
      <c r="A4" s="6" t="s">
        <v>2651</v>
      </c>
      <c r="B4" s="2" t="s">
        <v>77</v>
      </c>
      <c r="C4" s="2" t="s">
        <v>80</v>
      </c>
      <c r="D4" s="2" t="s">
        <v>108</v>
      </c>
      <c r="E4" s="2" t="s">
        <v>108</v>
      </c>
    </row>
    <row r="5" spans="1:5">
      <c r="A5" s="6" t="s">
        <v>2652</v>
      </c>
      <c r="B5" s="2" t="s">
        <v>77</v>
      </c>
      <c r="C5" s="2" t="s">
        <v>80</v>
      </c>
      <c r="D5" s="2" t="s">
        <v>108</v>
      </c>
      <c r="E5" s="2" t="s">
        <v>108</v>
      </c>
    </row>
    <row r="6" spans="1:5">
      <c r="A6" s="6" t="s">
        <v>2653</v>
      </c>
      <c r="B6" s="2" t="s">
        <v>77</v>
      </c>
      <c r="C6" s="2" t="s">
        <v>80</v>
      </c>
      <c r="D6" s="2" t="s">
        <v>108</v>
      </c>
      <c r="E6" s="2" t="s">
        <v>108</v>
      </c>
    </row>
    <row r="7" spans="1:5">
      <c r="A7" s="6" t="s">
        <v>2654</v>
      </c>
      <c r="B7" s="2" t="s">
        <v>77</v>
      </c>
      <c r="C7" s="2" t="s">
        <v>80</v>
      </c>
      <c r="D7" s="2" t="s">
        <v>108</v>
      </c>
      <c r="E7" s="2" t="s">
        <v>108</v>
      </c>
    </row>
    <row r="8" spans="1:5">
      <c r="A8" s="6" t="s">
        <v>2655</v>
      </c>
      <c r="B8" s="2" t="s">
        <v>77</v>
      </c>
      <c r="C8" s="2" t="s">
        <v>80</v>
      </c>
      <c r="D8" s="2" t="s">
        <v>108</v>
      </c>
      <c r="E8" s="2" t="s">
        <v>108</v>
      </c>
    </row>
    <row r="9" spans="1:5">
      <c r="A9" s="6" t="s">
        <v>2656</v>
      </c>
      <c r="B9" s="2" t="s">
        <v>77</v>
      </c>
      <c r="C9" s="2" t="s">
        <v>80</v>
      </c>
      <c r="D9" s="2" t="s">
        <v>108</v>
      </c>
      <c r="E9" s="2" t="s">
        <v>108</v>
      </c>
    </row>
    <row r="10" spans="1:5">
      <c r="A10" s="6" t="s">
        <v>2657</v>
      </c>
      <c r="B10" s="2" t="s">
        <v>77</v>
      </c>
      <c r="C10" s="2" t="s">
        <v>80</v>
      </c>
      <c r="D10" s="2" t="s">
        <v>108</v>
      </c>
      <c r="E10" s="2" t="s">
        <v>108</v>
      </c>
    </row>
    <row r="11" spans="1:5">
      <c r="A11" s="6" t="s">
        <v>2658</v>
      </c>
      <c r="B11" s="2" t="s">
        <v>77</v>
      </c>
      <c r="C11" s="2" t="s">
        <v>80</v>
      </c>
      <c r="D11" s="2" t="s">
        <v>108</v>
      </c>
      <c r="E11" s="2" t="s">
        <v>108</v>
      </c>
    </row>
    <row r="12" spans="1:5">
      <c r="A12" s="6" t="s">
        <v>2659</v>
      </c>
      <c r="B12" s="2" t="s">
        <v>77</v>
      </c>
      <c r="C12" s="2" t="s">
        <v>80</v>
      </c>
      <c r="D12" s="2" t="s">
        <v>108</v>
      </c>
      <c r="E12" s="2" t="s">
        <v>108</v>
      </c>
    </row>
    <row r="13" spans="1:5">
      <c r="A13" s="6" t="s">
        <v>2660</v>
      </c>
      <c r="B13" s="2" t="s">
        <v>77</v>
      </c>
      <c r="C13" s="2" t="s">
        <v>80</v>
      </c>
      <c r="D13" s="2" t="s">
        <v>108</v>
      </c>
      <c r="E13" s="2" t="s">
        <v>108</v>
      </c>
    </row>
    <row r="14" spans="1:5">
      <c r="A14" s="6" t="s">
        <v>2661</v>
      </c>
      <c r="B14" s="2" t="s">
        <v>77</v>
      </c>
      <c r="C14" s="2" t="s">
        <v>80</v>
      </c>
      <c r="D14" s="2" t="s">
        <v>108</v>
      </c>
      <c r="E14" s="2" t="s">
        <v>108</v>
      </c>
    </row>
    <row r="15" spans="1:5">
      <c r="A15" s="6" t="s">
        <v>2662</v>
      </c>
      <c r="B15" s="2" t="s">
        <v>77</v>
      </c>
      <c r="C15" s="2" t="s">
        <v>80</v>
      </c>
      <c r="D15" s="2" t="s">
        <v>108</v>
      </c>
      <c r="E15" s="2" t="s">
        <v>108</v>
      </c>
    </row>
    <row r="16" spans="1:5">
      <c r="A16" s="6" t="s">
        <v>2663</v>
      </c>
      <c r="B16" s="2" t="s">
        <v>77</v>
      </c>
      <c r="C16" s="2" t="s">
        <v>80</v>
      </c>
      <c r="D16" s="2" t="s">
        <v>108</v>
      </c>
      <c r="E16" s="2" t="s">
        <v>108</v>
      </c>
    </row>
    <row r="17" spans="1:5">
      <c r="A17" s="6" t="s">
        <v>2664</v>
      </c>
      <c r="B17" s="2" t="s">
        <v>77</v>
      </c>
      <c r="C17" s="2" t="s">
        <v>80</v>
      </c>
      <c r="D17" s="2" t="s">
        <v>108</v>
      </c>
      <c r="E17" s="2" t="s">
        <v>108</v>
      </c>
    </row>
    <row r="18" spans="1:5">
      <c r="A18" s="6" t="s">
        <v>2665</v>
      </c>
      <c r="B18" s="2" t="s">
        <v>77</v>
      </c>
      <c r="C18" s="2" t="s">
        <v>80</v>
      </c>
      <c r="D18" s="2" t="s">
        <v>108</v>
      </c>
      <c r="E18" s="2" t="s">
        <v>108</v>
      </c>
    </row>
    <row r="19" spans="1:5">
      <c r="A19" s="6" t="s">
        <v>2666</v>
      </c>
      <c r="B19" s="2" t="s">
        <v>77</v>
      </c>
      <c r="C19" s="2" t="s">
        <v>80</v>
      </c>
      <c r="D19" s="2" t="s">
        <v>108</v>
      </c>
      <c r="E19" s="2" t="s">
        <v>108</v>
      </c>
    </row>
    <row r="20" spans="1:5">
      <c r="A20" s="6" t="s">
        <v>2667</v>
      </c>
      <c r="B20" s="2" t="s">
        <v>77</v>
      </c>
      <c r="C20" s="2" t="s">
        <v>80</v>
      </c>
      <c r="D20" s="2" t="s">
        <v>108</v>
      </c>
      <c r="E20" s="2" t="s">
        <v>108</v>
      </c>
    </row>
    <row r="21" spans="1:5">
      <c r="A21" s="6" t="s">
        <v>2668</v>
      </c>
      <c r="B21" s="2" t="s">
        <v>77</v>
      </c>
      <c r="C21" s="2" t="s">
        <v>53</v>
      </c>
      <c r="D21" s="2" t="s">
        <v>108</v>
      </c>
      <c r="E21" s="2" t="s">
        <v>108</v>
      </c>
    </row>
    <row r="22" spans="1:5">
      <c r="A22" s="6" t="s">
        <v>2669</v>
      </c>
      <c r="B22" s="2" t="s">
        <v>79</v>
      </c>
      <c r="C22" s="2" t="s">
        <v>78</v>
      </c>
      <c r="D22" s="2" t="s">
        <v>108</v>
      </c>
      <c r="E22" s="2" t="s">
        <v>108</v>
      </c>
    </row>
    <row r="23" spans="1:5">
      <c r="A23" s="6" t="s">
        <v>2670</v>
      </c>
      <c r="B23" s="2" t="s">
        <v>79</v>
      </c>
      <c r="C23" s="2" t="s">
        <v>78</v>
      </c>
      <c r="D23" s="2" t="s">
        <v>108</v>
      </c>
      <c r="E23" s="2" t="s">
        <v>108</v>
      </c>
    </row>
    <row r="24" spans="1:5">
      <c r="A24" s="6" t="s">
        <v>2671</v>
      </c>
      <c r="B24" s="2" t="s">
        <v>79</v>
      </c>
      <c r="C24" s="2" t="s">
        <v>78</v>
      </c>
      <c r="D24" s="2" t="s">
        <v>108</v>
      </c>
      <c r="E24" s="2" t="s">
        <v>108</v>
      </c>
    </row>
    <row r="25" spans="1:5">
      <c r="A25" s="6" t="s">
        <v>2672</v>
      </c>
      <c r="B25" s="2" t="s">
        <v>79</v>
      </c>
      <c r="C25" s="2" t="s">
        <v>78</v>
      </c>
      <c r="D25" s="2" t="s">
        <v>108</v>
      </c>
      <c r="E25" s="2" t="s">
        <v>108</v>
      </c>
    </row>
    <row r="26" spans="1:5">
      <c r="A26" s="6" t="s">
        <v>2673</v>
      </c>
      <c r="B26" s="2" t="s">
        <v>79</v>
      </c>
      <c r="C26" s="2" t="s">
        <v>78</v>
      </c>
      <c r="D26" s="2" t="s">
        <v>108</v>
      </c>
      <c r="E26" s="2" t="s">
        <v>108</v>
      </c>
    </row>
    <row r="27" spans="1:5">
      <c r="A27" s="6" t="s">
        <v>2674</v>
      </c>
      <c r="B27" s="2" t="s">
        <v>79</v>
      </c>
      <c r="C27" s="2" t="s">
        <v>78</v>
      </c>
      <c r="D27" s="2" t="s">
        <v>108</v>
      </c>
      <c r="E27" s="2" t="s">
        <v>108</v>
      </c>
    </row>
    <row r="28" spans="1:5">
      <c r="A28" s="6" t="s">
        <v>2675</v>
      </c>
      <c r="B28" s="2" t="s">
        <v>79</v>
      </c>
      <c r="C28" s="2" t="s">
        <v>78</v>
      </c>
      <c r="D28" s="2" t="s">
        <v>108</v>
      </c>
      <c r="E28" s="2" t="s">
        <v>108</v>
      </c>
    </row>
    <row r="29" spans="1:5">
      <c r="A29" s="6" t="s">
        <v>2676</v>
      </c>
      <c r="B29" s="2" t="s">
        <v>79</v>
      </c>
      <c r="C29" s="2" t="s">
        <v>78</v>
      </c>
      <c r="D29" s="2" t="s">
        <v>108</v>
      </c>
      <c r="E29" s="2" t="s">
        <v>108</v>
      </c>
    </row>
    <row r="30" spans="1:5">
      <c r="A30" s="6" t="s">
        <v>2677</v>
      </c>
      <c r="B30" s="2" t="s">
        <v>79</v>
      </c>
      <c r="C30" s="2" t="s">
        <v>78</v>
      </c>
      <c r="D30" s="2" t="s">
        <v>108</v>
      </c>
      <c r="E30" s="2" t="s">
        <v>108</v>
      </c>
    </row>
    <row r="31" spans="1:5">
      <c r="A31" s="6" t="s">
        <v>2678</v>
      </c>
      <c r="B31" s="2" t="s">
        <v>79</v>
      </c>
      <c r="C31" s="2" t="s">
        <v>78</v>
      </c>
      <c r="D31" s="2" t="s">
        <v>108</v>
      </c>
      <c r="E31" s="2" t="s">
        <v>108</v>
      </c>
    </row>
    <row r="32" spans="1:5">
      <c r="A32" s="6" t="s">
        <v>2679</v>
      </c>
      <c r="B32" s="2" t="s">
        <v>79</v>
      </c>
      <c r="C32" s="2" t="s">
        <v>78</v>
      </c>
      <c r="D32" s="2" t="s">
        <v>108</v>
      </c>
      <c r="E32" s="2" t="s">
        <v>108</v>
      </c>
    </row>
    <row r="33" spans="1:5">
      <c r="A33" s="6" t="s">
        <v>2680</v>
      </c>
      <c r="B33" s="2" t="s">
        <v>79</v>
      </c>
      <c r="C33" s="2" t="s">
        <v>78</v>
      </c>
      <c r="D33" s="2" t="s">
        <v>108</v>
      </c>
      <c r="E33" s="2" t="s">
        <v>108</v>
      </c>
    </row>
    <row r="34" spans="1:5">
      <c r="A34" s="6" t="s">
        <v>2681</v>
      </c>
      <c r="B34" s="2" t="s">
        <v>79</v>
      </c>
      <c r="C34" s="2" t="s">
        <v>78</v>
      </c>
      <c r="D34" s="2" t="s">
        <v>108</v>
      </c>
      <c r="E34" s="2" t="s">
        <v>108</v>
      </c>
    </row>
    <row r="35" spans="1:5">
      <c r="A35" s="6" t="s">
        <v>2682</v>
      </c>
      <c r="B35" s="2" t="s">
        <v>79</v>
      </c>
      <c r="C35" s="2" t="s">
        <v>78</v>
      </c>
      <c r="D35" s="2" t="s">
        <v>108</v>
      </c>
      <c r="E35" s="2" t="s">
        <v>108</v>
      </c>
    </row>
    <row r="36" spans="1:5">
      <c r="A36" s="6" t="s">
        <v>2683</v>
      </c>
      <c r="B36" s="2" t="s">
        <v>79</v>
      </c>
      <c r="C36" s="2" t="s">
        <v>78</v>
      </c>
      <c r="D36" s="2" t="s">
        <v>108</v>
      </c>
      <c r="E36" s="2" t="s">
        <v>108</v>
      </c>
    </row>
    <row r="37" spans="1:5">
      <c r="A37" s="6" t="s">
        <v>2684</v>
      </c>
      <c r="B37" s="2" t="s">
        <v>79</v>
      </c>
      <c r="C37" s="2" t="s">
        <v>78</v>
      </c>
      <c r="D37" s="2" t="s">
        <v>108</v>
      </c>
      <c r="E37" s="2" t="s">
        <v>108</v>
      </c>
    </row>
    <row r="38" spans="1:5">
      <c r="A38" s="6" t="s">
        <v>2685</v>
      </c>
      <c r="B38" s="2" t="s">
        <v>79</v>
      </c>
      <c r="C38" s="2" t="s">
        <v>78</v>
      </c>
      <c r="D38" s="2" t="s">
        <v>108</v>
      </c>
      <c r="E38" s="2" t="s">
        <v>108</v>
      </c>
    </row>
    <row r="39" spans="1:5">
      <c r="A39" s="6" t="s">
        <v>2686</v>
      </c>
      <c r="B39" s="2" t="s">
        <v>79</v>
      </c>
      <c r="C39" s="2" t="s">
        <v>78</v>
      </c>
      <c r="D39" s="2" t="s">
        <v>108</v>
      </c>
      <c r="E39" s="2" t="s">
        <v>108</v>
      </c>
    </row>
    <row r="40" spans="1:5">
      <c r="A40" s="6" t="s">
        <v>2687</v>
      </c>
      <c r="B40" s="2" t="s">
        <v>79</v>
      </c>
      <c r="C40" s="2" t="s">
        <v>78</v>
      </c>
      <c r="D40" s="2" t="s">
        <v>108</v>
      </c>
      <c r="E40" s="2" t="s">
        <v>108</v>
      </c>
    </row>
    <row r="41" spans="1:5">
      <c r="A41" s="6" t="s">
        <v>2688</v>
      </c>
      <c r="B41" s="2" t="s">
        <v>79</v>
      </c>
      <c r="C41" s="2" t="s">
        <v>78</v>
      </c>
      <c r="D41" s="2" t="s">
        <v>108</v>
      </c>
      <c r="E41" s="2" t="s">
        <v>108</v>
      </c>
    </row>
    <row r="42" spans="1:5">
      <c r="A42" s="6" t="s">
        <v>2689</v>
      </c>
      <c r="B42" s="2" t="s">
        <v>79</v>
      </c>
      <c r="C42" s="2" t="s">
        <v>78</v>
      </c>
      <c r="D42" s="2" t="s">
        <v>108</v>
      </c>
      <c r="E42" s="2" t="s">
        <v>108</v>
      </c>
    </row>
    <row r="43" spans="1:5">
      <c r="A43" s="6" t="s">
        <v>2690</v>
      </c>
      <c r="B43" s="2" t="s">
        <v>79</v>
      </c>
      <c r="C43" s="2" t="s">
        <v>78</v>
      </c>
      <c r="D43" s="2">
        <v>2022</v>
      </c>
      <c r="E43" s="3">
        <v>45747</v>
      </c>
    </row>
    <row r="44" spans="1:5">
      <c r="A44" s="6" t="s">
        <v>2691</v>
      </c>
      <c r="B44" s="2" t="s">
        <v>79</v>
      </c>
      <c r="C44" s="2" t="s">
        <v>78</v>
      </c>
      <c r="D44" s="2" t="s">
        <v>108</v>
      </c>
      <c r="E44" s="2" t="s">
        <v>108</v>
      </c>
    </row>
    <row r="45" spans="1:5">
      <c r="A45" s="6" t="s">
        <v>2692</v>
      </c>
      <c r="B45" s="2" t="s">
        <v>79</v>
      </c>
      <c r="C45" s="2" t="s">
        <v>78</v>
      </c>
      <c r="D45" s="2" t="s">
        <v>108</v>
      </c>
      <c r="E45" s="2" t="s">
        <v>108</v>
      </c>
    </row>
    <row r="46" spans="1:5">
      <c r="A46" s="6" t="s">
        <v>2693</v>
      </c>
      <c r="B46" s="2" t="s">
        <v>79</v>
      </c>
      <c r="C46" s="2" t="s">
        <v>78</v>
      </c>
      <c r="D46" s="2" t="s">
        <v>108</v>
      </c>
      <c r="E46" s="2" t="s">
        <v>108</v>
      </c>
    </row>
    <row r="47" spans="1:5">
      <c r="A47" s="6" t="s">
        <v>2694</v>
      </c>
      <c r="B47" s="2" t="s">
        <v>79</v>
      </c>
      <c r="C47" s="2" t="s">
        <v>80</v>
      </c>
      <c r="D47" s="2" t="s">
        <v>108</v>
      </c>
      <c r="E47" s="2" t="s">
        <v>108</v>
      </c>
    </row>
    <row r="48" spans="1:5">
      <c r="A48" s="6" t="s">
        <v>2695</v>
      </c>
      <c r="B48" s="2" t="s">
        <v>79</v>
      </c>
      <c r="C48" s="2" t="s">
        <v>80</v>
      </c>
      <c r="D48" s="2" t="s">
        <v>108</v>
      </c>
      <c r="E48" s="2" t="s">
        <v>108</v>
      </c>
    </row>
    <row r="49" spans="1:5">
      <c r="A49" s="6" t="s">
        <v>2696</v>
      </c>
      <c r="B49" s="2" t="s">
        <v>79</v>
      </c>
      <c r="C49" s="2" t="s">
        <v>80</v>
      </c>
      <c r="D49" s="2" t="s">
        <v>108</v>
      </c>
      <c r="E49" s="2" t="s">
        <v>108</v>
      </c>
    </row>
    <row r="50" spans="1:5">
      <c r="A50" s="6" t="s">
        <v>2697</v>
      </c>
      <c r="B50" s="2" t="s">
        <v>79</v>
      </c>
      <c r="C50" s="2" t="s">
        <v>80</v>
      </c>
      <c r="D50" s="2" t="s">
        <v>108</v>
      </c>
      <c r="E50" s="2" t="s">
        <v>108</v>
      </c>
    </row>
    <row r="51" spans="1:5">
      <c r="A51" s="6" t="s">
        <v>2698</v>
      </c>
      <c r="B51" s="2" t="s">
        <v>79</v>
      </c>
      <c r="C51" s="2" t="s">
        <v>80</v>
      </c>
      <c r="D51" s="2" t="s">
        <v>108</v>
      </c>
      <c r="E51" s="2" t="s">
        <v>108</v>
      </c>
    </row>
    <row r="52" spans="1:5">
      <c r="A52" s="6">
        <v>24164525101640</v>
      </c>
      <c r="B52" s="2" t="s">
        <v>79</v>
      </c>
      <c r="C52" s="2" t="s">
        <v>80</v>
      </c>
      <c r="D52" s="2" t="s">
        <v>108</v>
      </c>
      <c r="E52" s="2" t="s">
        <v>108</v>
      </c>
    </row>
    <row r="53" spans="1:5">
      <c r="A53" s="6">
        <v>24164525101641</v>
      </c>
      <c r="B53" s="2" t="s">
        <v>79</v>
      </c>
      <c r="C53" s="2" t="s">
        <v>80</v>
      </c>
      <c r="D53" s="2" t="s">
        <v>108</v>
      </c>
      <c r="E53" s="2" t="s">
        <v>108</v>
      </c>
    </row>
    <row r="54" spans="1:5">
      <c r="A54" s="6">
        <v>24289525100891</v>
      </c>
      <c r="B54" s="2" t="s">
        <v>79</v>
      </c>
      <c r="C54" s="2" t="s">
        <v>80</v>
      </c>
      <c r="D54" s="2" t="s">
        <v>108</v>
      </c>
      <c r="E54" s="2" t="s">
        <v>108</v>
      </c>
    </row>
    <row r="55" spans="1:5">
      <c r="A55" s="6">
        <v>24290525100599</v>
      </c>
      <c r="B55" s="2" t="s">
        <v>79</v>
      </c>
      <c r="C55" s="2" t="s">
        <v>80</v>
      </c>
      <c r="D55" s="2" t="s">
        <v>108</v>
      </c>
      <c r="E55" s="2" t="s">
        <v>108</v>
      </c>
    </row>
    <row r="56" spans="1:5">
      <c r="A56" s="6">
        <v>24290525100618</v>
      </c>
      <c r="B56" s="2" t="s">
        <v>79</v>
      </c>
      <c r="C56" s="2" t="s">
        <v>80</v>
      </c>
      <c r="D56" s="2" t="s">
        <v>108</v>
      </c>
      <c r="E56" s="2" t="s">
        <v>108</v>
      </c>
    </row>
    <row r="57" spans="1:5">
      <c r="A57" s="6">
        <v>24290525100937</v>
      </c>
      <c r="B57" s="2" t="s">
        <v>79</v>
      </c>
      <c r="C57" s="2" t="s">
        <v>80</v>
      </c>
      <c r="D57" s="2" t="s">
        <v>108</v>
      </c>
      <c r="E57" s="2" t="s">
        <v>108</v>
      </c>
    </row>
    <row r="58" spans="1:5">
      <c r="A58" s="6">
        <v>24300525100984</v>
      </c>
      <c r="B58" s="2" t="s">
        <v>79</v>
      </c>
      <c r="C58" s="2" t="s">
        <v>80</v>
      </c>
      <c r="D58" s="2" t="s">
        <v>108</v>
      </c>
      <c r="E58" s="2" t="s">
        <v>108</v>
      </c>
    </row>
    <row r="59" spans="1:5">
      <c r="A59" s="6">
        <v>24300525101128</v>
      </c>
      <c r="B59" s="2" t="s">
        <v>79</v>
      </c>
      <c r="C59" s="2" t="s">
        <v>80</v>
      </c>
      <c r="D59" s="2" t="s">
        <v>108</v>
      </c>
      <c r="E59" s="2" t="s">
        <v>108</v>
      </c>
    </row>
    <row r="60" spans="1:5">
      <c r="A60" s="6">
        <v>24300525101135</v>
      </c>
      <c r="B60" s="2" t="s">
        <v>79</v>
      </c>
      <c r="C60" s="2" t="s">
        <v>80</v>
      </c>
      <c r="D60" s="2" t="s">
        <v>108</v>
      </c>
      <c r="E60" s="2" t="s">
        <v>108</v>
      </c>
    </row>
    <row r="61" spans="1:5">
      <c r="A61" s="6">
        <v>24300525101141</v>
      </c>
      <c r="B61" s="2" t="s">
        <v>79</v>
      </c>
      <c r="C61" s="2" t="s">
        <v>80</v>
      </c>
      <c r="D61" s="2" t="s">
        <v>108</v>
      </c>
      <c r="E61" s="2" t="s">
        <v>108</v>
      </c>
    </row>
    <row r="62" spans="1:5">
      <c r="A62" s="6">
        <v>24300525101149</v>
      </c>
      <c r="B62" s="2" t="s">
        <v>79</v>
      </c>
      <c r="C62" s="2" t="s">
        <v>80</v>
      </c>
      <c r="D62" s="2" t="s">
        <v>108</v>
      </c>
      <c r="E62" s="2" t="s">
        <v>108</v>
      </c>
    </row>
    <row r="63" spans="1:5">
      <c r="A63" s="6">
        <v>24303525100521</v>
      </c>
      <c r="B63" s="2" t="s">
        <v>79</v>
      </c>
      <c r="C63" s="2" t="s">
        <v>80</v>
      </c>
      <c r="D63" s="2" t="s">
        <v>108</v>
      </c>
      <c r="E63" s="2" t="s">
        <v>108</v>
      </c>
    </row>
    <row r="64" spans="1:5">
      <c r="A64" s="6">
        <v>24311525100972</v>
      </c>
      <c r="B64" s="2" t="s">
        <v>79</v>
      </c>
      <c r="C64" s="2" t="s">
        <v>80</v>
      </c>
      <c r="D64" s="2" t="s">
        <v>108</v>
      </c>
      <c r="E64" s="2" t="s">
        <v>108</v>
      </c>
    </row>
    <row r="65" spans="1:5">
      <c r="A65" s="6">
        <v>24312525100774</v>
      </c>
      <c r="B65" s="2" t="s">
        <v>79</v>
      </c>
      <c r="C65" s="2" t="s">
        <v>80</v>
      </c>
      <c r="D65" s="2" t="s">
        <v>108</v>
      </c>
      <c r="E65" s="2" t="s">
        <v>108</v>
      </c>
    </row>
    <row r="66" spans="1:5">
      <c r="A66" s="6">
        <v>24312525100751</v>
      </c>
      <c r="B66" s="2" t="s">
        <v>79</v>
      </c>
      <c r="C66" s="2" t="s">
        <v>80</v>
      </c>
      <c r="D66" s="2" t="s">
        <v>108</v>
      </c>
      <c r="E66" s="2" t="s">
        <v>108</v>
      </c>
    </row>
    <row r="67" spans="1:5">
      <c r="A67" s="6">
        <v>24312525100768</v>
      </c>
      <c r="B67" s="2" t="s">
        <v>79</v>
      </c>
      <c r="C67" s="2" t="s">
        <v>80</v>
      </c>
      <c r="D67" s="2" t="s">
        <v>108</v>
      </c>
      <c r="E67" s="2" t="s">
        <v>108</v>
      </c>
    </row>
    <row r="68" spans="1:5">
      <c r="A68" s="6">
        <v>24312525100784</v>
      </c>
      <c r="B68" s="2" t="s">
        <v>79</v>
      </c>
      <c r="C68" s="2" t="s">
        <v>80</v>
      </c>
      <c r="D68" s="2" t="s">
        <v>108</v>
      </c>
      <c r="E68" s="2" t="s">
        <v>108</v>
      </c>
    </row>
    <row r="69" spans="1:5">
      <c r="A69" s="6" t="s">
        <v>2699</v>
      </c>
      <c r="B69" s="2" t="s">
        <v>79</v>
      </c>
      <c r="C69" s="2" t="s">
        <v>80</v>
      </c>
      <c r="D69" s="2" t="s">
        <v>108</v>
      </c>
      <c r="E69" s="2" t="s">
        <v>108</v>
      </c>
    </row>
    <row r="70" spans="1:5">
      <c r="A70" s="6" t="s">
        <v>2700</v>
      </c>
      <c r="B70" s="2" t="s">
        <v>81</v>
      </c>
      <c r="C70" s="2" t="s">
        <v>80</v>
      </c>
      <c r="D70" s="2" t="s">
        <v>108</v>
      </c>
      <c r="E70" s="2" t="s">
        <v>108</v>
      </c>
    </row>
    <row r="71" spans="1:5">
      <c r="A71" s="6" t="s">
        <v>2701</v>
      </c>
      <c r="B71" s="2" t="s">
        <v>81</v>
      </c>
      <c r="C71" s="2" t="s">
        <v>80</v>
      </c>
      <c r="D71" s="2" t="s">
        <v>108</v>
      </c>
      <c r="E71" s="2" t="s">
        <v>108</v>
      </c>
    </row>
    <row r="72" spans="1:5">
      <c r="A72" s="6" t="s">
        <v>2702</v>
      </c>
      <c r="B72" s="2" t="s">
        <v>81</v>
      </c>
      <c r="C72" s="2" t="s">
        <v>80</v>
      </c>
      <c r="D72" s="2" t="s">
        <v>108</v>
      </c>
      <c r="E72" s="2" t="s">
        <v>108</v>
      </c>
    </row>
    <row r="73" spans="1:5">
      <c r="A73" s="6" t="s">
        <v>2703</v>
      </c>
      <c r="B73" s="2" t="s">
        <v>81</v>
      </c>
      <c r="C73" s="2" t="s">
        <v>80</v>
      </c>
      <c r="D73" s="2" t="s">
        <v>108</v>
      </c>
      <c r="E73" s="2" t="s">
        <v>108</v>
      </c>
    </row>
    <row r="74" spans="1:5">
      <c r="A74" s="6" t="s">
        <v>2704</v>
      </c>
      <c r="B74" s="2" t="s">
        <v>81</v>
      </c>
      <c r="C74" s="2" t="s">
        <v>80</v>
      </c>
      <c r="D74" s="2" t="s">
        <v>108</v>
      </c>
      <c r="E74" s="2" t="s">
        <v>108</v>
      </c>
    </row>
    <row r="75" spans="1:5">
      <c r="A75" s="6" t="s">
        <v>2705</v>
      </c>
      <c r="B75" s="2" t="s">
        <v>81</v>
      </c>
      <c r="C75" s="2" t="s">
        <v>80</v>
      </c>
      <c r="D75" s="2" t="s">
        <v>108</v>
      </c>
      <c r="E75" s="2" t="s">
        <v>108</v>
      </c>
    </row>
    <row r="76" spans="1:5">
      <c r="A76" s="6" t="s">
        <v>2706</v>
      </c>
      <c r="B76" s="2" t="s">
        <v>81</v>
      </c>
      <c r="C76" s="2" t="s">
        <v>80</v>
      </c>
      <c r="D76" s="2" t="s">
        <v>108</v>
      </c>
      <c r="E76" s="2" t="s">
        <v>108</v>
      </c>
    </row>
    <row r="77" spans="1:5">
      <c r="A77" s="6" t="s">
        <v>2707</v>
      </c>
      <c r="B77" s="2" t="s">
        <v>81</v>
      </c>
      <c r="C77" s="2" t="s">
        <v>80</v>
      </c>
      <c r="D77" s="2" t="s">
        <v>108</v>
      </c>
      <c r="E77" s="2" t="s">
        <v>108</v>
      </c>
    </row>
    <row r="78" spans="1:5">
      <c r="A78" s="6" t="s">
        <v>2708</v>
      </c>
      <c r="B78" s="2" t="s">
        <v>81</v>
      </c>
      <c r="C78" s="2" t="s">
        <v>80</v>
      </c>
      <c r="D78" s="2" t="s">
        <v>108</v>
      </c>
      <c r="E78" s="2" t="s">
        <v>108</v>
      </c>
    </row>
    <row r="79" spans="1:5">
      <c r="A79" s="6" t="s">
        <v>2709</v>
      </c>
      <c r="B79" s="2" t="s">
        <v>81</v>
      </c>
      <c r="C79" s="2" t="s">
        <v>80</v>
      </c>
      <c r="D79" s="2" t="s">
        <v>108</v>
      </c>
      <c r="E79" s="2" t="s">
        <v>108</v>
      </c>
    </row>
    <row r="80" spans="1:5">
      <c r="A80" s="6" t="s">
        <v>2710</v>
      </c>
      <c r="B80" s="2" t="s">
        <v>81</v>
      </c>
      <c r="C80" s="2" t="s">
        <v>80</v>
      </c>
      <c r="D80" s="2" t="s">
        <v>108</v>
      </c>
      <c r="E80" s="2" t="s">
        <v>108</v>
      </c>
    </row>
    <row r="81" spans="1:5">
      <c r="A81" s="6" t="s">
        <v>2711</v>
      </c>
      <c r="B81" s="2" t="s">
        <v>81</v>
      </c>
      <c r="C81" s="2" t="s">
        <v>80</v>
      </c>
      <c r="D81" s="2" t="s">
        <v>108</v>
      </c>
      <c r="E81" s="2" t="s">
        <v>108</v>
      </c>
    </row>
    <row r="82" spans="1:5">
      <c r="A82" s="6" t="s">
        <v>2712</v>
      </c>
      <c r="B82" s="2" t="s">
        <v>81</v>
      </c>
      <c r="C82" s="2" t="s">
        <v>80</v>
      </c>
      <c r="D82" s="2" t="s">
        <v>108</v>
      </c>
      <c r="E82" s="2" t="s">
        <v>108</v>
      </c>
    </row>
    <row r="83" spans="1:5">
      <c r="A83" s="6" t="s">
        <v>2713</v>
      </c>
      <c r="B83" s="2" t="s">
        <v>81</v>
      </c>
      <c r="C83" s="2" t="s">
        <v>80</v>
      </c>
      <c r="D83" s="2" t="s">
        <v>108</v>
      </c>
      <c r="E83" s="2" t="s">
        <v>108</v>
      </c>
    </row>
    <row r="84" spans="1:5">
      <c r="A84" s="6" t="s">
        <v>2714</v>
      </c>
      <c r="B84" s="2" t="s">
        <v>81</v>
      </c>
      <c r="C84" s="2" t="s">
        <v>80</v>
      </c>
      <c r="D84" s="2" t="s">
        <v>108</v>
      </c>
      <c r="E84" s="2" t="s">
        <v>108</v>
      </c>
    </row>
    <row r="85" spans="1:5">
      <c r="A85" s="6" t="s">
        <v>2715</v>
      </c>
      <c r="B85" s="2" t="s">
        <v>81</v>
      </c>
      <c r="C85" s="2" t="s">
        <v>80</v>
      </c>
      <c r="D85" s="2" t="s">
        <v>108</v>
      </c>
      <c r="E85" s="2" t="s">
        <v>108</v>
      </c>
    </row>
  </sheetData>
  <conditionalFormatting sqref="C2:C85">
    <cfRule type="cellIs" dxfId="31" priority="1" operator="equal">
      <formula>"BAJA"</formula>
    </cfRule>
    <cfRule type="cellIs" dxfId="30" priority="2" operator="equal">
      <formula>"DEPRECIADO"</formula>
    </cfRule>
    <cfRule type="cellIs" dxfId="29" priority="3" operator="equal">
      <formula>"OK"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8CB52-87D7-4C24-AC63-A2734BD7DDFD}">
  <dimension ref="A1:J38"/>
  <sheetViews>
    <sheetView topLeftCell="A18" workbookViewId="0">
      <selection activeCell="F19" sqref="F19"/>
    </sheetView>
  </sheetViews>
  <sheetFormatPr defaultColWidth="11.42578125" defaultRowHeight="15"/>
  <cols>
    <col min="1" max="1" width="14.7109375" customWidth="1"/>
    <col min="3" max="3" width="28" customWidth="1"/>
    <col min="4" max="4" width="35.28515625" customWidth="1"/>
    <col min="5" max="5" width="14.42578125" customWidth="1"/>
    <col min="6" max="6" width="20.42578125" customWidth="1"/>
    <col min="7" max="8" width="18" customWidth="1"/>
    <col min="9" max="9" width="14.5703125" customWidth="1"/>
    <col min="10" max="10" width="24.42578125" customWidth="1"/>
  </cols>
  <sheetData>
    <row r="1" spans="1:10" s="17" customFormat="1" ht="45" customHeight="1">
      <c r="A1" s="18" t="s">
        <v>1144</v>
      </c>
      <c r="B1" s="18" t="s">
        <v>1146</v>
      </c>
      <c r="C1" s="18" t="s">
        <v>1147</v>
      </c>
      <c r="D1" s="18" t="s">
        <v>1362</v>
      </c>
      <c r="E1" s="18" t="s">
        <v>2398</v>
      </c>
      <c r="F1" s="18" t="s">
        <v>2716</v>
      </c>
      <c r="G1" s="18" t="s">
        <v>2717</v>
      </c>
      <c r="H1" s="18" t="s">
        <v>2718</v>
      </c>
      <c r="I1" s="18" t="s">
        <v>2719</v>
      </c>
      <c r="J1" s="18" t="s">
        <v>2629</v>
      </c>
    </row>
    <row r="2" spans="1:10" ht="52.5" customHeight="1">
      <c r="A2" s="5" t="s">
        <v>2720</v>
      </c>
      <c r="B2" s="5" t="s">
        <v>2721</v>
      </c>
      <c r="C2" s="5" t="s">
        <v>2722</v>
      </c>
      <c r="D2" s="5" t="s">
        <v>2723</v>
      </c>
      <c r="E2" s="5" t="s">
        <v>2724</v>
      </c>
      <c r="F2" s="5" t="s">
        <v>108</v>
      </c>
      <c r="G2" s="5" t="s">
        <v>2725</v>
      </c>
      <c r="H2" s="5" t="s">
        <v>1176</v>
      </c>
      <c r="I2" s="5" t="s">
        <v>108</v>
      </c>
      <c r="J2" s="5" t="s">
        <v>2726</v>
      </c>
    </row>
    <row r="3" spans="1:10">
      <c r="A3" s="5" t="s">
        <v>2727</v>
      </c>
      <c r="B3" s="5" t="s">
        <v>2721</v>
      </c>
      <c r="C3" s="5" t="s">
        <v>2728</v>
      </c>
      <c r="D3" s="5" t="s">
        <v>2729</v>
      </c>
      <c r="E3" s="5" t="s">
        <v>2730</v>
      </c>
      <c r="F3" s="5" t="s">
        <v>2731</v>
      </c>
      <c r="G3" s="5" t="s">
        <v>353</v>
      </c>
      <c r="H3" s="5" t="s">
        <v>1176</v>
      </c>
      <c r="I3" s="5">
        <v>8000</v>
      </c>
      <c r="J3" s="5" t="s">
        <v>108</v>
      </c>
    </row>
    <row r="4" spans="1:10">
      <c r="A4" s="5" t="s">
        <v>2727</v>
      </c>
      <c r="B4" s="5" t="s">
        <v>2721</v>
      </c>
      <c r="C4" s="5" t="s">
        <v>2728</v>
      </c>
      <c r="D4" s="5" t="s">
        <v>2732</v>
      </c>
      <c r="E4" s="5" t="s">
        <v>2733</v>
      </c>
      <c r="F4" s="5" t="s">
        <v>2734</v>
      </c>
      <c r="G4" s="5" t="s">
        <v>2735</v>
      </c>
      <c r="H4" s="5" t="s">
        <v>1176</v>
      </c>
      <c r="I4" s="5">
        <v>8000</v>
      </c>
      <c r="J4" s="5" t="s">
        <v>108</v>
      </c>
    </row>
    <row r="5" spans="1:10">
      <c r="A5" s="5" t="s">
        <v>2727</v>
      </c>
      <c r="B5" s="5" t="s">
        <v>2721</v>
      </c>
      <c r="C5" s="5" t="s">
        <v>2728</v>
      </c>
      <c r="D5" s="5" t="s">
        <v>2736</v>
      </c>
      <c r="E5" s="5" t="s">
        <v>2737</v>
      </c>
      <c r="F5" s="5" t="s">
        <v>2738</v>
      </c>
      <c r="G5" s="5" t="s">
        <v>2725</v>
      </c>
      <c r="H5" s="5" t="s">
        <v>1176</v>
      </c>
      <c r="I5" s="5">
        <v>8000</v>
      </c>
      <c r="J5" s="5" t="s">
        <v>108</v>
      </c>
    </row>
    <row r="6" spans="1:10">
      <c r="A6" s="5" t="s">
        <v>2727</v>
      </c>
      <c r="B6" s="5" t="s">
        <v>2721</v>
      </c>
      <c r="C6" s="5" t="s">
        <v>2728</v>
      </c>
      <c r="D6" s="5" t="s">
        <v>2739</v>
      </c>
      <c r="E6" s="5" t="s">
        <v>2740</v>
      </c>
      <c r="F6" s="5" t="s">
        <v>2741</v>
      </c>
      <c r="G6" s="5" t="s">
        <v>2742</v>
      </c>
      <c r="H6" s="5" t="s">
        <v>1176</v>
      </c>
      <c r="I6" s="5">
        <v>8000</v>
      </c>
      <c r="J6" s="5" t="s">
        <v>108</v>
      </c>
    </row>
    <row r="7" spans="1:10">
      <c r="A7" s="5" t="s">
        <v>2727</v>
      </c>
      <c r="B7" s="5" t="s">
        <v>2721</v>
      </c>
      <c r="C7" s="5" t="s">
        <v>2728</v>
      </c>
      <c r="D7" s="5" t="s">
        <v>2743</v>
      </c>
      <c r="E7" s="5" t="s">
        <v>2744</v>
      </c>
      <c r="F7" s="5" t="s">
        <v>2745</v>
      </c>
      <c r="G7" s="5" t="s">
        <v>265</v>
      </c>
      <c r="H7" s="5" t="s">
        <v>1176</v>
      </c>
      <c r="I7" s="5">
        <v>8000</v>
      </c>
      <c r="J7" s="5" t="s">
        <v>108</v>
      </c>
    </row>
    <row r="8" spans="1:10">
      <c r="A8" s="5" t="s">
        <v>2727</v>
      </c>
      <c r="B8" s="5" t="s">
        <v>2721</v>
      </c>
      <c r="C8" s="5" t="s">
        <v>2728</v>
      </c>
      <c r="D8" s="5" t="s">
        <v>2746</v>
      </c>
      <c r="E8" s="5" t="s">
        <v>2747</v>
      </c>
      <c r="F8" s="5" t="s">
        <v>2748</v>
      </c>
      <c r="G8" s="5" t="s">
        <v>2325</v>
      </c>
      <c r="H8" s="5" t="s">
        <v>1176</v>
      </c>
      <c r="I8" s="5">
        <v>8000</v>
      </c>
      <c r="J8" s="5" t="s">
        <v>108</v>
      </c>
    </row>
    <row r="9" spans="1:10">
      <c r="A9" s="5" t="s">
        <v>2749</v>
      </c>
      <c r="B9" s="5" t="s">
        <v>2750</v>
      </c>
      <c r="C9" s="5" t="s">
        <v>2751</v>
      </c>
      <c r="D9" s="5" t="s">
        <v>2752</v>
      </c>
      <c r="E9" s="5" t="s">
        <v>2753</v>
      </c>
      <c r="F9" s="5" t="s">
        <v>108</v>
      </c>
      <c r="G9" s="5" t="s">
        <v>2725</v>
      </c>
      <c r="H9" s="5" t="s">
        <v>1176</v>
      </c>
      <c r="I9" s="5" t="s">
        <v>108</v>
      </c>
      <c r="J9" s="5" t="s">
        <v>108</v>
      </c>
    </row>
    <row r="10" spans="1:10" ht="27.75">
      <c r="A10" s="5" t="s">
        <v>2749</v>
      </c>
      <c r="B10" s="5" t="s">
        <v>2750</v>
      </c>
      <c r="C10" s="5" t="s">
        <v>2754</v>
      </c>
      <c r="D10" s="5" t="s">
        <v>2755</v>
      </c>
      <c r="E10" s="5" t="s">
        <v>108</v>
      </c>
      <c r="F10" s="5" t="s">
        <v>108</v>
      </c>
      <c r="G10" s="5" t="s">
        <v>2725</v>
      </c>
      <c r="H10" s="5" t="s">
        <v>1176</v>
      </c>
      <c r="I10" s="5" t="s">
        <v>108</v>
      </c>
      <c r="J10" s="5" t="s">
        <v>108</v>
      </c>
    </row>
    <row r="11" spans="1:10" ht="27.75">
      <c r="A11" s="5" t="s">
        <v>2749</v>
      </c>
      <c r="B11" s="5" t="s">
        <v>2750</v>
      </c>
      <c r="C11" s="5" t="s">
        <v>2754</v>
      </c>
      <c r="D11" s="5" t="s">
        <v>2755</v>
      </c>
      <c r="E11" s="5" t="s">
        <v>108</v>
      </c>
      <c r="F11" s="5" t="s">
        <v>108</v>
      </c>
      <c r="G11" s="5" t="s">
        <v>2725</v>
      </c>
      <c r="H11" s="5" t="s">
        <v>1176</v>
      </c>
      <c r="I11" s="5" t="s">
        <v>108</v>
      </c>
      <c r="J11" s="5" t="s">
        <v>108</v>
      </c>
    </row>
    <row r="12" spans="1:10">
      <c r="A12" s="5" t="s">
        <v>2749</v>
      </c>
      <c r="B12" s="5" t="s">
        <v>2756</v>
      </c>
      <c r="C12" s="5" t="s">
        <v>2757</v>
      </c>
      <c r="D12" s="5" t="s">
        <v>2758</v>
      </c>
      <c r="E12" s="5" t="s">
        <v>108</v>
      </c>
      <c r="F12" s="5" t="s">
        <v>108</v>
      </c>
      <c r="G12" s="5" t="s">
        <v>2725</v>
      </c>
      <c r="H12" s="5" t="s">
        <v>1176</v>
      </c>
      <c r="I12" s="5" t="s">
        <v>108</v>
      </c>
      <c r="J12" s="5" t="s">
        <v>108</v>
      </c>
    </row>
    <row r="13" spans="1:10">
      <c r="A13" s="5" t="s">
        <v>2759</v>
      </c>
      <c r="B13" s="5" t="s">
        <v>2760</v>
      </c>
      <c r="C13" s="5" t="s">
        <v>2761</v>
      </c>
      <c r="D13" s="5" t="s">
        <v>2762</v>
      </c>
      <c r="E13" s="5" t="s">
        <v>108</v>
      </c>
      <c r="F13" s="5" t="s">
        <v>108</v>
      </c>
      <c r="G13" s="5" t="s">
        <v>2725</v>
      </c>
      <c r="H13" s="5" t="s">
        <v>1176</v>
      </c>
      <c r="I13" s="5" t="s">
        <v>108</v>
      </c>
      <c r="J13" s="5" t="s">
        <v>108</v>
      </c>
    </row>
    <row r="14" spans="1:10">
      <c r="A14" s="5" t="s">
        <v>2759</v>
      </c>
      <c r="B14" s="5" t="s">
        <v>2760</v>
      </c>
      <c r="C14" s="5" t="s">
        <v>2761</v>
      </c>
      <c r="D14" s="5" t="s">
        <v>2763</v>
      </c>
      <c r="E14" s="5" t="s">
        <v>108</v>
      </c>
      <c r="F14" s="5" t="s">
        <v>108</v>
      </c>
      <c r="G14" s="5" t="s">
        <v>2725</v>
      </c>
      <c r="H14" s="5" t="s">
        <v>1176</v>
      </c>
      <c r="I14" s="5" t="s">
        <v>108</v>
      </c>
      <c r="J14" s="5" t="s">
        <v>108</v>
      </c>
    </row>
    <row r="15" spans="1:10">
      <c r="A15" s="5" t="s">
        <v>2764</v>
      </c>
      <c r="B15" s="5" t="s">
        <v>2765</v>
      </c>
      <c r="C15" s="5" t="s">
        <v>2766</v>
      </c>
      <c r="D15" s="5" t="s">
        <v>2767</v>
      </c>
      <c r="E15" s="5" t="s">
        <v>108</v>
      </c>
      <c r="F15" s="5" t="s">
        <v>108</v>
      </c>
      <c r="G15" s="5" t="s">
        <v>2725</v>
      </c>
      <c r="H15" s="5" t="s">
        <v>1176</v>
      </c>
      <c r="I15" s="5" t="s">
        <v>108</v>
      </c>
      <c r="J15" s="5" t="s">
        <v>108</v>
      </c>
    </row>
    <row r="16" spans="1:10">
      <c r="A16" s="5" t="s">
        <v>2764</v>
      </c>
      <c r="B16" s="5" t="s">
        <v>2765</v>
      </c>
      <c r="C16" s="5" t="s">
        <v>2766</v>
      </c>
      <c r="D16" s="5" t="s">
        <v>2768</v>
      </c>
      <c r="E16" s="5" t="s">
        <v>108</v>
      </c>
      <c r="F16" s="5" t="s">
        <v>108</v>
      </c>
      <c r="G16" s="5" t="s">
        <v>2725</v>
      </c>
      <c r="H16" s="5" t="s">
        <v>1176</v>
      </c>
      <c r="I16" s="5" t="s">
        <v>108</v>
      </c>
      <c r="J16" s="5" t="s">
        <v>108</v>
      </c>
    </row>
    <row r="17" spans="1:10" ht="27.75">
      <c r="A17" s="5" t="s">
        <v>2764</v>
      </c>
      <c r="B17" s="5" t="s">
        <v>2765</v>
      </c>
      <c r="C17" s="5" t="s">
        <v>2766</v>
      </c>
      <c r="D17" s="5" t="s">
        <v>2769</v>
      </c>
      <c r="E17" s="5" t="s">
        <v>108</v>
      </c>
      <c r="F17" s="5" t="s">
        <v>2770</v>
      </c>
      <c r="G17" s="5" t="s">
        <v>2771</v>
      </c>
      <c r="H17" s="5" t="s">
        <v>1176</v>
      </c>
      <c r="I17" s="5" t="s">
        <v>108</v>
      </c>
      <c r="J17" s="5" t="s">
        <v>108</v>
      </c>
    </row>
    <row r="18" spans="1:10" ht="27.75">
      <c r="A18" s="5" t="s">
        <v>2764</v>
      </c>
      <c r="B18" s="5" t="s">
        <v>2765</v>
      </c>
      <c r="C18" s="5" t="s">
        <v>2772</v>
      </c>
      <c r="D18" s="5" t="s">
        <v>2773</v>
      </c>
      <c r="E18" s="5" t="s">
        <v>108</v>
      </c>
      <c r="F18" s="5" t="s">
        <v>108</v>
      </c>
      <c r="G18" s="5" t="s">
        <v>2774</v>
      </c>
      <c r="H18" s="5" t="s">
        <v>1176</v>
      </c>
      <c r="I18" s="5" t="s">
        <v>108</v>
      </c>
      <c r="J18" s="5" t="s">
        <v>108</v>
      </c>
    </row>
    <row r="19" spans="1:10" ht="27.75">
      <c r="A19" s="5" t="s">
        <v>2775</v>
      </c>
      <c r="B19" s="5" t="s">
        <v>1502</v>
      </c>
      <c r="C19" s="5" t="s">
        <v>2776</v>
      </c>
      <c r="D19" s="5" t="s">
        <v>2777</v>
      </c>
      <c r="E19" s="5" t="s">
        <v>2778</v>
      </c>
      <c r="F19" s="5" t="s">
        <v>108</v>
      </c>
      <c r="G19" s="5" t="s">
        <v>2725</v>
      </c>
      <c r="H19" s="5" t="s">
        <v>1176</v>
      </c>
      <c r="I19" s="5" t="s">
        <v>108</v>
      </c>
      <c r="J19" s="5" t="s">
        <v>108</v>
      </c>
    </row>
    <row r="20" spans="1:10" ht="27.75">
      <c r="A20" s="5" t="s">
        <v>2775</v>
      </c>
      <c r="B20" s="5" t="s">
        <v>1502</v>
      </c>
      <c r="C20" s="5" t="s">
        <v>2779</v>
      </c>
      <c r="D20" s="5" t="s">
        <v>2780</v>
      </c>
      <c r="E20" s="5" t="s">
        <v>2781</v>
      </c>
      <c r="F20" s="5" t="s">
        <v>108</v>
      </c>
      <c r="G20" s="5" t="s">
        <v>2725</v>
      </c>
      <c r="H20" s="5" t="s">
        <v>1176</v>
      </c>
      <c r="I20" s="5" t="s">
        <v>108</v>
      </c>
      <c r="J20" s="5" t="s">
        <v>108</v>
      </c>
    </row>
    <row r="21" spans="1:10">
      <c r="A21" s="5" t="s">
        <v>2775</v>
      </c>
      <c r="B21" s="5" t="s">
        <v>1502</v>
      </c>
      <c r="C21" s="5" t="s">
        <v>2782</v>
      </c>
      <c r="D21" s="5">
        <v>852388</v>
      </c>
      <c r="E21" s="5" t="s">
        <v>2783</v>
      </c>
      <c r="F21" s="5" t="s">
        <v>108</v>
      </c>
      <c r="G21" s="5" t="s">
        <v>2725</v>
      </c>
      <c r="H21" s="5" t="s">
        <v>1176</v>
      </c>
      <c r="I21" s="5" t="s">
        <v>108</v>
      </c>
      <c r="J21" s="5" t="s">
        <v>108</v>
      </c>
    </row>
    <row r="22" spans="1:10">
      <c r="A22" s="5" t="s">
        <v>2784</v>
      </c>
      <c r="B22" s="5" t="s">
        <v>2785</v>
      </c>
      <c r="C22" s="5" t="s">
        <v>2786</v>
      </c>
      <c r="D22" s="5" t="s">
        <v>2787</v>
      </c>
      <c r="E22" s="5" t="s">
        <v>108</v>
      </c>
      <c r="F22" s="5" t="s">
        <v>108</v>
      </c>
      <c r="G22" s="5" t="s">
        <v>2788</v>
      </c>
      <c r="H22" s="5" t="s">
        <v>1176</v>
      </c>
      <c r="I22" s="5" t="s">
        <v>108</v>
      </c>
      <c r="J22" s="5" t="s">
        <v>108</v>
      </c>
    </row>
    <row r="23" spans="1:10">
      <c r="A23" s="5" t="s">
        <v>2784</v>
      </c>
      <c r="B23" s="5" t="s">
        <v>2785</v>
      </c>
      <c r="C23" s="5" t="s">
        <v>2786</v>
      </c>
      <c r="D23" s="5" t="s">
        <v>2789</v>
      </c>
      <c r="E23" s="5" t="s">
        <v>108</v>
      </c>
      <c r="F23" s="5" t="s">
        <v>108</v>
      </c>
      <c r="G23" s="5" t="s">
        <v>2788</v>
      </c>
      <c r="H23" s="5" t="s">
        <v>1176</v>
      </c>
      <c r="I23" s="5" t="s">
        <v>108</v>
      </c>
      <c r="J23" s="5" t="s">
        <v>108</v>
      </c>
    </row>
    <row r="24" spans="1:10">
      <c r="A24" s="5" t="s">
        <v>2784</v>
      </c>
      <c r="B24" s="5" t="s">
        <v>2785</v>
      </c>
      <c r="C24" s="5" t="s">
        <v>2786</v>
      </c>
      <c r="D24" s="5" t="s">
        <v>2790</v>
      </c>
      <c r="E24" s="5" t="s">
        <v>108</v>
      </c>
      <c r="F24" s="5" t="s">
        <v>108</v>
      </c>
      <c r="G24" s="5" t="s">
        <v>2788</v>
      </c>
      <c r="H24" s="5" t="s">
        <v>1176</v>
      </c>
      <c r="I24" s="5" t="s">
        <v>108</v>
      </c>
      <c r="J24" s="5" t="s">
        <v>108</v>
      </c>
    </row>
    <row r="25" spans="1:10">
      <c r="A25" s="5" t="s">
        <v>2784</v>
      </c>
      <c r="B25" s="5" t="s">
        <v>2785</v>
      </c>
      <c r="C25" s="5" t="s">
        <v>2786</v>
      </c>
      <c r="D25" s="5" t="s">
        <v>2791</v>
      </c>
      <c r="E25" s="5" t="s">
        <v>108</v>
      </c>
      <c r="F25" s="5" t="s">
        <v>108</v>
      </c>
      <c r="G25" s="5" t="s">
        <v>2788</v>
      </c>
      <c r="H25" s="5" t="s">
        <v>1176</v>
      </c>
      <c r="I25" s="5" t="s">
        <v>108</v>
      </c>
      <c r="J25" s="5" t="s">
        <v>108</v>
      </c>
    </row>
    <row r="26" spans="1:10" ht="27.75">
      <c r="A26" s="5" t="s">
        <v>2792</v>
      </c>
      <c r="B26" s="5" t="s">
        <v>2793</v>
      </c>
      <c r="C26" s="5" t="s">
        <v>2794</v>
      </c>
      <c r="D26" s="5" t="s">
        <v>2795</v>
      </c>
      <c r="E26" s="5" t="s">
        <v>2796</v>
      </c>
      <c r="F26" s="5" t="s">
        <v>108</v>
      </c>
      <c r="G26" s="5" t="s">
        <v>2725</v>
      </c>
      <c r="H26" s="5" t="s">
        <v>1176</v>
      </c>
      <c r="I26" s="5" t="s">
        <v>108</v>
      </c>
      <c r="J26" s="5" t="s">
        <v>108</v>
      </c>
    </row>
    <row r="27" spans="1:10" ht="27.75">
      <c r="A27" s="5" t="s">
        <v>2797</v>
      </c>
      <c r="B27" s="5" t="s">
        <v>2798</v>
      </c>
      <c r="C27" s="5" t="s">
        <v>2799</v>
      </c>
      <c r="D27" s="5" t="s">
        <v>2800</v>
      </c>
      <c r="E27" s="5" t="s">
        <v>108</v>
      </c>
      <c r="F27" s="5" t="s">
        <v>108</v>
      </c>
      <c r="G27" s="5" t="s">
        <v>2801</v>
      </c>
      <c r="H27" s="5" t="s">
        <v>1176</v>
      </c>
      <c r="I27" s="5" t="s">
        <v>108</v>
      </c>
      <c r="J27" s="5" t="s">
        <v>108</v>
      </c>
    </row>
    <row r="28" spans="1:10">
      <c r="A28" s="5" t="s">
        <v>2797</v>
      </c>
      <c r="B28" s="5" t="s">
        <v>2798</v>
      </c>
      <c r="C28" s="5" t="s">
        <v>2802</v>
      </c>
      <c r="D28" s="5" t="s">
        <v>2803</v>
      </c>
      <c r="E28" s="5" t="s">
        <v>108</v>
      </c>
      <c r="F28" s="5" t="s">
        <v>108</v>
      </c>
      <c r="G28" s="5" t="s">
        <v>2788</v>
      </c>
      <c r="H28" s="5" t="s">
        <v>1176</v>
      </c>
      <c r="I28" s="5" t="s">
        <v>108</v>
      </c>
      <c r="J28" s="5" t="s">
        <v>108</v>
      </c>
    </row>
    <row r="29" spans="1:10">
      <c r="A29" s="5" t="s">
        <v>2797</v>
      </c>
      <c r="B29" s="5" t="s">
        <v>2798</v>
      </c>
      <c r="C29" s="5" t="s">
        <v>2802</v>
      </c>
      <c r="D29" s="5" t="s">
        <v>2804</v>
      </c>
      <c r="E29" s="5" t="s">
        <v>108</v>
      </c>
      <c r="F29" s="5" t="s">
        <v>108</v>
      </c>
      <c r="G29" s="5" t="s">
        <v>2788</v>
      </c>
      <c r="H29" s="5" t="s">
        <v>1176</v>
      </c>
      <c r="I29" s="5" t="s">
        <v>108</v>
      </c>
      <c r="J29" s="5" t="s">
        <v>108</v>
      </c>
    </row>
    <row r="30" spans="1:10" ht="27.75">
      <c r="A30" s="5" t="s">
        <v>2805</v>
      </c>
      <c r="B30" s="5" t="s">
        <v>62</v>
      </c>
      <c r="C30" s="5" t="s">
        <v>2806</v>
      </c>
      <c r="D30" s="5" t="s">
        <v>2807</v>
      </c>
      <c r="E30" s="5" t="s">
        <v>108</v>
      </c>
      <c r="F30" s="5" t="s">
        <v>108</v>
      </c>
      <c r="G30" s="5" t="s">
        <v>2725</v>
      </c>
      <c r="H30" s="5" t="s">
        <v>1176</v>
      </c>
      <c r="I30" s="5" t="s">
        <v>108</v>
      </c>
      <c r="J30" s="5" t="s">
        <v>108</v>
      </c>
    </row>
    <row r="31" spans="1:10" ht="41.25">
      <c r="A31" s="5" t="s">
        <v>2808</v>
      </c>
      <c r="B31" s="5" t="s">
        <v>2809</v>
      </c>
      <c r="C31" s="5" t="s">
        <v>2810</v>
      </c>
      <c r="D31" s="5">
        <v>20240489</v>
      </c>
      <c r="E31" s="5" t="s">
        <v>108</v>
      </c>
      <c r="F31" s="5" t="s">
        <v>108</v>
      </c>
      <c r="G31" s="5" t="s">
        <v>2725</v>
      </c>
      <c r="H31" s="5" t="s">
        <v>1176</v>
      </c>
      <c r="I31" s="5" t="s">
        <v>108</v>
      </c>
      <c r="J31" s="5" t="s">
        <v>108</v>
      </c>
    </row>
    <row r="32" spans="1:10" ht="27.75">
      <c r="A32" s="5" t="s">
        <v>2811</v>
      </c>
      <c r="B32" s="5" t="s">
        <v>2721</v>
      </c>
      <c r="C32" s="5" t="s">
        <v>2812</v>
      </c>
      <c r="D32" s="5" t="s">
        <v>2813</v>
      </c>
      <c r="E32" s="5" t="s">
        <v>2814</v>
      </c>
      <c r="F32" s="5" t="s">
        <v>108</v>
      </c>
      <c r="G32" s="5" t="s">
        <v>2788</v>
      </c>
      <c r="H32" s="5" t="s">
        <v>1176</v>
      </c>
      <c r="I32" s="5" t="s">
        <v>108</v>
      </c>
      <c r="J32" s="5" t="s">
        <v>108</v>
      </c>
    </row>
    <row r="33" spans="1:10" ht="27.75">
      <c r="A33" s="5" t="s">
        <v>2811</v>
      </c>
      <c r="B33" s="5" t="s">
        <v>2721</v>
      </c>
      <c r="C33" s="5" t="s">
        <v>2815</v>
      </c>
      <c r="D33" s="5" t="s">
        <v>2816</v>
      </c>
      <c r="E33" s="5" t="s">
        <v>108</v>
      </c>
      <c r="F33" s="5" t="s">
        <v>108</v>
      </c>
      <c r="G33" s="5" t="s">
        <v>2788</v>
      </c>
      <c r="H33" s="5" t="s">
        <v>1176</v>
      </c>
      <c r="I33" s="5" t="s">
        <v>108</v>
      </c>
      <c r="J33" s="5" t="s">
        <v>108</v>
      </c>
    </row>
    <row r="34" spans="1:10">
      <c r="A34" s="5" t="s">
        <v>2817</v>
      </c>
      <c r="B34" s="5" t="s">
        <v>2818</v>
      </c>
      <c r="C34" s="5" t="s">
        <v>2819</v>
      </c>
      <c r="D34" s="5">
        <v>22030228</v>
      </c>
      <c r="E34" s="5" t="s">
        <v>108</v>
      </c>
      <c r="F34" s="5" t="s">
        <v>108</v>
      </c>
      <c r="G34" s="5" t="s">
        <v>2725</v>
      </c>
      <c r="H34" s="5" t="s">
        <v>1176</v>
      </c>
      <c r="I34" s="5" t="s">
        <v>108</v>
      </c>
      <c r="J34" s="5" t="s">
        <v>108</v>
      </c>
    </row>
    <row r="35" spans="1:10" ht="54.75">
      <c r="A35" s="5" t="s">
        <v>2817</v>
      </c>
      <c r="B35" s="5" t="s">
        <v>2818</v>
      </c>
      <c r="C35" s="5" t="s">
        <v>2820</v>
      </c>
      <c r="D35" s="5" t="s">
        <v>2821</v>
      </c>
      <c r="E35" s="5" t="s">
        <v>108</v>
      </c>
      <c r="F35" s="5" t="s">
        <v>108</v>
      </c>
      <c r="G35" s="5" t="s">
        <v>2788</v>
      </c>
      <c r="H35" s="5" t="s">
        <v>1176</v>
      </c>
      <c r="I35" s="5" t="s">
        <v>108</v>
      </c>
      <c r="J35" s="5" t="s">
        <v>108</v>
      </c>
    </row>
    <row r="36" spans="1:10" ht="54.75">
      <c r="A36" s="5" t="s">
        <v>2817</v>
      </c>
      <c r="B36" s="5" t="s">
        <v>2818</v>
      </c>
      <c r="C36" s="5" t="s">
        <v>2820</v>
      </c>
      <c r="D36" s="5" t="s">
        <v>2821</v>
      </c>
      <c r="E36" s="5" t="s">
        <v>108</v>
      </c>
      <c r="F36" s="5" t="s">
        <v>108</v>
      </c>
      <c r="G36" s="5" t="s">
        <v>2788</v>
      </c>
      <c r="H36" s="5" t="s">
        <v>1176</v>
      </c>
      <c r="I36" s="5" t="s">
        <v>108</v>
      </c>
      <c r="J36" s="5" t="s">
        <v>108</v>
      </c>
    </row>
    <row r="37" spans="1:10" ht="54.75">
      <c r="A37" s="5" t="s">
        <v>2817</v>
      </c>
      <c r="B37" s="5" t="s">
        <v>2818</v>
      </c>
      <c r="C37" s="5" t="s">
        <v>2820</v>
      </c>
      <c r="D37" s="5" t="s">
        <v>2821</v>
      </c>
      <c r="E37" s="5" t="s">
        <v>108</v>
      </c>
      <c r="F37" s="5" t="s">
        <v>108</v>
      </c>
      <c r="G37" s="5" t="s">
        <v>2788</v>
      </c>
      <c r="H37" s="5" t="s">
        <v>1176</v>
      </c>
      <c r="I37" s="5" t="s">
        <v>108</v>
      </c>
      <c r="J37" s="5" t="s">
        <v>108</v>
      </c>
    </row>
    <row r="38" spans="1:10" ht="54.75">
      <c r="A38" s="5" t="s">
        <v>2817</v>
      </c>
      <c r="B38" s="5" t="s">
        <v>2818</v>
      </c>
      <c r="C38" s="5" t="s">
        <v>2820</v>
      </c>
      <c r="D38" s="5" t="s">
        <v>2821</v>
      </c>
      <c r="E38" s="5" t="s">
        <v>108</v>
      </c>
      <c r="F38" s="5" t="s">
        <v>108</v>
      </c>
      <c r="G38" s="5" t="s">
        <v>2788</v>
      </c>
      <c r="H38" s="5" t="s">
        <v>1176</v>
      </c>
      <c r="I38" s="5" t="s">
        <v>108</v>
      </c>
      <c r="J38" s="5" t="s">
        <v>108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1EFC-5865-4931-9902-6D420FDCF562}">
  <dimension ref="A1:H145"/>
  <sheetViews>
    <sheetView topLeftCell="A127" workbookViewId="0">
      <selection activeCell="C147" sqref="C147"/>
    </sheetView>
  </sheetViews>
  <sheetFormatPr defaultColWidth="11.42578125" defaultRowHeight="15"/>
  <cols>
    <col min="1" max="1" width="34.7109375" style="5" customWidth="1"/>
    <col min="2" max="2" width="18.42578125" style="5" customWidth="1"/>
    <col min="3" max="3" width="27.5703125" style="5" customWidth="1"/>
    <col min="4" max="4" width="24" style="5" customWidth="1"/>
    <col min="5" max="5" width="6" style="5" bestFit="1" customWidth="1"/>
    <col min="6" max="6" width="46.5703125" style="5" customWidth="1"/>
    <col min="7" max="7" width="11.42578125" style="4"/>
    <col min="8" max="8" width="17.85546875" style="4" customWidth="1"/>
  </cols>
  <sheetData>
    <row r="1" spans="1:8" ht="36">
      <c r="A1" s="18" t="s">
        <v>1144</v>
      </c>
      <c r="B1" s="18" t="s">
        <v>1146</v>
      </c>
      <c r="C1" s="18" t="s">
        <v>1147</v>
      </c>
      <c r="D1" s="18" t="s">
        <v>1362</v>
      </c>
      <c r="E1" s="18" t="s">
        <v>2398</v>
      </c>
      <c r="F1" s="18" t="s">
        <v>2822</v>
      </c>
      <c r="G1" s="18" t="s">
        <v>2718</v>
      </c>
      <c r="H1" s="18" t="s">
        <v>2716</v>
      </c>
    </row>
    <row r="2" spans="1:8">
      <c r="A2" s="5" t="s">
        <v>2720</v>
      </c>
      <c r="B2" s="5" t="s">
        <v>2823</v>
      </c>
      <c r="C2" s="5" t="s">
        <v>2824</v>
      </c>
      <c r="D2" s="5" t="s">
        <v>2825</v>
      </c>
      <c r="E2" s="5" t="s">
        <v>108</v>
      </c>
      <c r="F2" s="5" t="s">
        <v>2826</v>
      </c>
      <c r="G2" s="5" t="s">
        <v>2827</v>
      </c>
      <c r="H2" s="5" t="s">
        <v>108</v>
      </c>
    </row>
    <row r="3" spans="1:8">
      <c r="A3" s="5" t="s">
        <v>2720</v>
      </c>
      <c r="B3" s="5" t="s">
        <v>2823</v>
      </c>
      <c r="C3" s="5" t="s">
        <v>2828</v>
      </c>
      <c r="D3" s="5" t="s">
        <v>2829</v>
      </c>
      <c r="E3" s="5" t="s">
        <v>108</v>
      </c>
      <c r="F3" s="5" t="s">
        <v>2826</v>
      </c>
      <c r="G3" s="5" t="s">
        <v>2827</v>
      </c>
      <c r="H3" s="5" t="s">
        <v>108</v>
      </c>
    </row>
    <row r="4" spans="1:8">
      <c r="A4" s="5" t="s">
        <v>2727</v>
      </c>
      <c r="B4" s="5" t="s">
        <v>2823</v>
      </c>
      <c r="C4" s="5" t="s">
        <v>2830</v>
      </c>
      <c r="D4" s="5" t="s">
        <v>2831</v>
      </c>
      <c r="E4" s="5" t="s">
        <v>108</v>
      </c>
      <c r="F4" s="5" t="s">
        <v>2832</v>
      </c>
      <c r="G4" s="5" t="s">
        <v>2827</v>
      </c>
      <c r="H4" s="5" t="s">
        <v>108</v>
      </c>
    </row>
    <row r="5" spans="1:8">
      <c r="A5" s="5" t="s">
        <v>2727</v>
      </c>
      <c r="B5" s="5" t="s">
        <v>2823</v>
      </c>
      <c r="C5" s="5" t="s">
        <v>2830</v>
      </c>
      <c r="D5" s="5" t="s">
        <v>2833</v>
      </c>
      <c r="E5" s="5" t="s">
        <v>108</v>
      </c>
      <c r="F5" s="5" t="s">
        <v>2832</v>
      </c>
      <c r="G5" s="5" t="s">
        <v>2827</v>
      </c>
      <c r="H5" s="5" t="s">
        <v>108</v>
      </c>
    </row>
    <row r="6" spans="1:8">
      <c r="A6" s="5" t="s">
        <v>2727</v>
      </c>
      <c r="B6" s="5" t="s">
        <v>2823</v>
      </c>
      <c r="C6" s="5" t="s">
        <v>2830</v>
      </c>
      <c r="D6" s="5" t="s">
        <v>2834</v>
      </c>
      <c r="E6" s="5" t="s">
        <v>108</v>
      </c>
      <c r="F6" s="5" t="s">
        <v>2832</v>
      </c>
      <c r="G6" s="5" t="s">
        <v>2827</v>
      </c>
      <c r="H6" s="5" t="s">
        <v>108</v>
      </c>
    </row>
    <row r="7" spans="1:8">
      <c r="A7" s="5" t="s">
        <v>2727</v>
      </c>
      <c r="B7" s="5" t="s">
        <v>2823</v>
      </c>
      <c r="C7" s="5" t="s">
        <v>2830</v>
      </c>
      <c r="D7" s="5" t="s">
        <v>2835</v>
      </c>
      <c r="E7" s="5" t="s">
        <v>108</v>
      </c>
      <c r="F7" s="5" t="s">
        <v>2832</v>
      </c>
      <c r="G7" s="5" t="s">
        <v>2827</v>
      </c>
      <c r="H7" s="5" t="s">
        <v>108</v>
      </c>
    </row>
    <row r="8" spans="1:8">
      <c r="A8" s="5" t="s">
        <v>2727</v>
      </c>
      <c r="B8" s="5" t="s">
        <v>2823</v>
      </c>
      <c r="C8" s="5" t="s">
        <v>2830</v>
      </c>
      <c r="D8" s="5" t="s">
        <v>2836</v>
      </c>
      <c r="E8" s="5" t="s">
        <v>108</v>
      </c>
      <c r="F8" s="5" t="s">
        <v>2832</v>
      </c>
      <c r="G8" s="5" t="s">
        <v>2827</v>
      </c>
      <c r="H8" s="5" t="s">
        <v>108</v>
      </c>
    </row>
    <row r="9" spans="1:8">
      <c r="A9" s="5" t="s">
        <v>2727</v>
      </c>
      <c r="B9" s="5" t="s">
        <v>2823</v>
      </c>
      <c r="C9" s="5" t="s">
        <v>2830</v>
      </c>
      <c r="D9" s="5" t="s">
        <v>2837</v>
      </c>
      <c r="E9" s="5" t="s">
        <v>108</v>
      </c>
      <c r="F9" s="5" t="s">
        <v>2832</v>
      </c>
      <c r="G9" s="5" t="s">
        <v>2827</v>
      </c>
      <c r="H9" s="5" t="s">
        <v>108</v>
      </c>
    </row>
    <row r="10" spans="1:8">
      <c r="A10" s="5" t="s">
        <v>2727</v>
      </c>
      <c r="B10" s="5" t="s">
        <v>2823</v>
      </c>
      <c r="C10" s="5" t="s">
        <v>2838</v>
      </c>
      <c r="D10" s="5" t="s">
        <v>2839</v>
      </c>
      <c r="E10" s="5" t="s">
        <v>108</v>
      </c>
      <c r="F10" s="5" t="s">
        <v>2832</v>
      </c>
      <c r="G10" s="5" t="s">
        <v>2827</v>
      </c>
      <c r="H10" s="5" t="s">
        <v>108</v>
      </c>
    </row>
    <row r="11" spans="1:8">
      <c r="A11" s="5" t="s">
        <v>2727</v>
      </c>
      <c r="B11" s="5" t="s">
        <v>2823</v>
      </c>
      <c r="C11" s="5" t="s">
        <v>2838</v>
      </c>
      <c r="D11" s="5" t="s">
        <v>2840</v>
      </c>
      <c r="E11" s="5" t="s">
        <v>108</v>
      </c>
      <c r="F11" s="5" t="s">
        <v>2832</v>
      </c>
      <c r="G11" s="5" t="s">
        <v>2827</v>
      </c>
      <c r="H11" s="5" t="s">
        <v>108</v>
      </c>
    </row>
    <row r="12" spans="1:8">
      <c r="A12" s="5" t="s">
        <v>2727</v>
      </c>
      <c r="B12" s="5" t="s">
        <v>2823</v>
      </c>
      <c r="C12" s="5" t="s">
        <v>2838</v>
      </c>
      <c r="D12" s="5" t="s">
        <v>2841</v>
      </c>
      <c r="E12" s="5" t="s">
        <v>108</v>
      </c>
      <c r="F12" s="5" t="s">
        <v>2832</v>
      </c>
      <c r="G12" s="5" t="s">
        <v>2827</v>
      </c>
      <c r="H12" s="5" t="s">
        <v>108</v>
      </c>
    </row>
    <row r="13" spans="1:8">
      <c r="A13" s="5" t="s">
        <v>2727</v>
      </c>
      <c r="B13" s="5" t="s">
        <v>2823</v>
      </c>
      <c r="C13" s="5" t="s">
        <v>2838</v>
      </c>
      <c r="D13" s="5" t="s">
        <v>2842</v>
      </c>
      <c r="E13" s="5" t="s">
        <v>108</v>
      </c>
      <c r="F13" s="5" t="s">
        <v>2832</v>
      </c>
      <c r="G13" s="5" t="s">
        <v>2827</v>
      </c>
      <c r="H13" s="5" t="s">
        <v>108</v>
      </c>
    </row>
    <row r="14" spans="1:8">
      <c r="A14" s="5" t="s">
        <v>2727</v>
      </c>
      <c r="B14" s="5" t="s">
        <v>2823</v>
      </c>
      <c r="C14" s="5" t="s">
        <v>2838</v>
      </c>
      <c r="D14" s="5" t="s">
        <v>2843</v>
      </c>
      <c r="E14" s="5" t="s">
        <v>108</v>
      </c>
      <c r="F14" s="5" t="s">
        <v>2832</v>
      </c>
      <c r="G14" s="5" t="s">
        <v>2827</v>
      </c>
      <c r="H14" s="5" t="s">
        <v>108</v>
      </c>
    </row>
    <row r="15" spans="1:8">
      <c r="A15" s="5" t="s">
        <v>2727</v>
      </c>
      <c r="B15" s="5" t="s">
        <v>2823</v>
      </c>
      <c r="C15" s="5" t="s">
        <v>2844</v>
      </c>
      <c r="D15" s="5" t="s">
        <v>2845</v>
      </c>
      <c r="E15" s="5" t="s">
        <v>108</v>
      </c>
      <c r="F15" s="5" t="s">
        <v>2832</v>
      </c>
      <c r="G15" s="5" t="s">
        <v>2827</v>
      </c>
      <c r="H15" s="5" t="s">
        <v>108</v>
      </c>
    </row>
    <row r="16" spans="1:8">
      <c r="A16" s="5" t="s">
        <v>2727</v>
      </c>
      <c r="B16" s="5" t="s">
        <v>2823</v>
      </c>
      <c r="C16" s="5" t="s">
        <v>2838</v>
      </c>
      <c r="D16" s="5" t="s">
        <v>2846</v>
      </c>
      <c r="E16" s="5" t="s">
        <v>108</v>
      </c>
      <c r="F16" s="5" t="s">
        <v>2832</v>
      </c>
      <c r="G16" s="5" t="s">
        <v>2827</v>
      </c>
      <c r="H16" s="5" t="s">
        <v>108</v>
      </c>
    </row>
    <row r="17" spans="1:8">
      <c r="A17" s="5" t="s">
        <v>2727</v>
      </c>
      <c r="B17" s="5" t="s">
        <v>2823</v>
      </c>
      <c r="C17" s="5" t="s">
        <v>2838</v>
      </c>
      <c r="D17" s="5" t="s">
        <v>2847</v>
      </c>
      <c r="E17" s="5" t="s">
        <v>108</v>
      </c>
      <c r="F17" s="5" t="s">
        <v>2832</v>
      </c>
      <c r="G17" s="5" t="s">
        <v>2827</v>
      </c>
      <c r="H17" s="5" t="s">
        <v>108</v>
      </c>
    </row>
    <row r="18" spans="1:8">
      <c r="A18" s="5" t="s">
        <v>2727</v>
      </c>
      <c r="B18" s="5" t="s">
        <v>2823</v>
      </c>
      <c r="C18" s="5" t="s">
        <v>2838</v>
      </c>
      <c r="D18" s="5" t="s">
        <v>2848</v>
      </c>
      <c r="E18" s="5" t="s">
        <v>108</v>
      </c>
      <c r="F18" s="5" t="s">
        <v>2832</v>
      </c>
      <c r="G18" s="5" t="s">
        <v>2827</v>
      </c>
      <c r="H18" s="5" t="s">
        <v>108</v>
      </c>
    </row>
    <row r="19" spans="1:8">
      <c r="A19" s="5" t="s">
        <v>2727</v>
      </c>
      <c r="B19" s="5" t="s">
        <v>2823</v>
      </c>
      <c r="C19" s="5" t="s">
        <v>2830</v>
      </c>
      <c r="D19" s="5" t="s">
        <v>2849</v>
      </c>
      <c r="E19" s="5" t="s">
        <v>108</v>
      </c>
      <c r="F19" s="5" t="s">
        <v>2832</v>
      </c>
      <c r="G19" s="5" t="s">
        <v>2827</v>
      </c>
      <c r="H19" s="5" t="s">
        <v>108</v>
      </c>
    </row>
    <row r="20" spans="1:8">
      <c r="A20" s="5" t="s">
        <v>2727</v>
      </c>
      <c r="B20" s="5" t="s">
        <v>2823</v>
      </c>
      <c r="C20" s="5" t="s">
        <v>2830</v>
      </c>
      <c r="D20" s="5" t="s">
        <v>2850</v>
      </c>
      <c r="E20" s="5" t="s">
        <v>108</v>
      </c>
      <c r="F20" s="5" t="s">
        <v>2832</v>
      </c>
      <c r="G20" s="5" t="s">
        <v>2827</v>
      </c>
      <c r="H20" s="5" t="s">
        <v>108</v>
      </c>
    </row>
    <row r="21" spans="1:8">
      <c r="A21" s="5" t="s">
        <v>2727</v>
      </c>
      <c r="B21" s="5" t="s">
        <v>2823</v>
      </c>
      <c r="C21" s="5" t="s">
        <v>2844</v>
      </c>
      <c r="D21" s="5" t="s">
        <v>2851</v>
      </c>
      <c r="E21" s="5" t="s">
        <v>108</v>
      </c>
      <c r="F21" s="5" t="s">
        <v>2852</v>
      </c>
      <c r="G21" s="5" t="s">
        <v>2827</v>
      </c>
      <c r="H21" s="5" t="s">
        <v>108</v>
      </c>
    </row>
    <row r="22" spans="1:8">
      <c r="A22" s="5" t="s">
        <v>2727</v>
      </c>
      <c r="B22" s="5" t="s">
        <v>2823</v>
      </c>
      <c r="C22" s="5" t="s">
        <v>2844</v>
      </c>
      <c r="D22" s="5" t="s">
        <v>2853</v>
      </c>
      <c r="E22" s="5" t="s">
        <v>108</v>
      </c>
      <c r="F22" s="5" t="s">
        <v>2852</v>
      </c>
      <c r="G22" s="5" t="s">
        <v>2827</v>
      </c>
      <c r="H22" s="5" t="s">
        <v>108</v>
      </c>
    </row>
    <row r="23" spans="1:8">
      <c r="A23" s="5" t="s">
        <v>2727</v>
      </c>
      <c r="B23" s="5" t="s">
        <v>2823</v>
      </c>
      <c r="C23" s="5" t="s">
        <v>2854</v>
      </c>
      <c r="D23" s="5" t="s">
        <v>2855</v>
      </c>
      <c r="E23" s="5" t="s">
        <v>108</v>
      </c>
      <c r="F23" s="5" t="s">
        <v>2852</v>
      </c>
      <c r="G23" s="5" t="s">
        <v>2827</v>
      </c>
      <c r="H23" s="5" t="s">
        <v>108</v>
      </c>
    </row>
    <row r="24" spans="1:8">
      <c r="A24" s="5" t="s">
        <v>2727</v>
      </c>
      <c r="B24" s="5" t="s">
        <v>2823</v>
      </c>
      <c r="C24" s="5" t="s">
        <v>2854</v>
      </c>
      <c r="D24" s="5" t="s">
        <v>2856</v>
      </c>
      <c r="E24" s="5" t="s">
        <v>108</v>
      </c>
      <c r="F24" s="5" t="s">
        <v>2852</v>
      </c>
      <c r="G24" s="5" t="s">
        <v>2827</v>
      </c>
      <c r="H24" s="5" t="s">
        <v>108</v>
      </c>
    </row>
    <row r="25" spans="1:8">
      <c r="A25" s="5" t="s">
        <v>2727</v>
      </c>
      <c r="B25" s="5" t="s">
        <v>2823</v>
      </c>
      <c r="C25" s="5" t="s">
        <v>2854</v>
      </c>
      <c r="D25" s="5" t="s">
        <v>2857</v>
      </c>
      <c r="E25" s="5" t="s">
        <v>108</v>
      </c>
      <c r="F25" s="5" t="s">
        <v>2852</v>
      </c>
      <c r="G25" s="5" t="s">
        <v>2827</v>
      </c>
      <c r="H25" s="5" t="s">
        <v>108</v>
      </c>
    </row>
    <row r="26" spans="1:8">
      <c r="A26" s="5" t="s">
        <v>2727</v>
      </c>
      <c r="B26" s="5" t="s">
        <v>2823</v>
      </c>
      <c r="C26" s="5" t="s">
        <v>2854</v>
      </c>
      <c r="D26" s="5" t="s">
        <v>2858</v>
      </c>
      <c r="E26" s="5" t="s">
        <v>108</v>
      </c>
      <c r="F26" s="5" t="s">
        <v>2852</v>
      </c>
      <c r="G26" s="5" t="s">
        <v>2827</v>
      </c>
      <c r="H26" s="5" t="s">
        <v>108</v>
      </c>
    </row>
    <row r="27" spans="1:8">
      <c r="A27" s="5" t="s">
        <v>2727</v>
      </c>
      <c r="B27" s="5" t="s">
        <v>2823</v>
      </c>
      <c r="C27" s="5" t="s">
        <v>2844</v>
      </c>
      <c r="D27" s="5" t="s">
        <v>2859</v>
      </c>
      <c r="E27" s="5" t="s">
        <v>108</v>
      </c>
      <c r="F27" s="5" t="s">
        <v>2852</v>
      </c>
      <c r="G27" s="5" t="s">
        <v>2827</v>
      </c>
      <c r="H27" s="5" t="s">
        <v>108</v>
      </c>
    </row>
    <row r="28" spans="1:8">
      <c r="A28" s="5" t="s">
        <v>2727</v>
      </c>
      <c r="B28" s="5" t="s">
        <v>2823</v>
      </c>
      <c r="C28" s="5" t="s">
        <v>2830</v>
      </c>
      <c r="D28" s="5" t="s">
        <v>2831</v>
      </c>
      <c r="E28" s="5" t="s">
        <v>108</v>
      </c>
      <c r="F28" s="5" t="s">
        <v>2852</v>
      </c>
      <c r="G28" s="5" t="s">
        <v>2827</v>
      </c>
      <c r="H28" s="5" t="s">
        <v>108</v>
      </c>
    </row>
    <row r="29" spans="1:8">
      <c r="A29" s="5" t="s">
        <v>2727</v>
      </c>
      <c r="B29" s="5" t="s">
        <v>2823</v>
      </c>
      <c r="C29" s="5" t="s">
        <v>2830</v>
      </c>
      <c r="D29" s="5" t="s">
        <v>2833</v>
      </c>
      <c r="E29" s="5" t="s">
        <v>108</v>
      </c>
      <c r="F29" s="5" t="s">
        <v>2852</v>
      </c>
      <c r="G29" s="5" t="s">
        <v>2827</v>
      </c>
      <c r="H29" s="5" t="s">
        <v>108</v>
      </c>
    </row>
    <row r="30" spans="1:8">
      <c r="A30" s="5" t="s">
        <v>2727</v>
      </c>
      <c r="B30" s="5" t="s">
        <v>2823</v>
      </c>
      <c r="C30" s="5" t="s">
        <v>2830</v>
      </c>
      <c r="D30" s="5" t="s">
        <v>2834</v>
      </c>
      <c r="E30" s="5" t="s">
        <v>108</v>
      </c>
      <c r="F30" s="5" t="s">
        <v>2852</v>
      </c>
      <c r="G30" s="5" t="s">
        <v>2827</v>
      </c>
      <c r="H30" s="5" t="s">
        <v>108</v>
      </c>
    </row>
    <row r="31" spans="1:8">
      <c r="A31" s="5" t="s">
        <v>2727</v>
      </c>
      <c r="B31" s="5" t="s">
        <v>2823</v>
      </c>
      <c r="C31" s="5" t="s">
        <v>2830</v>
      </c>
      <c r="D31" s="5" t="s">
        <v>2835</v>
      </c>
      <c r="E31" s="5" t="s">
        <v>108</v>
      </c>
      <c r="F31" s="5" t="s">
        <v>2852</v>
      </c>
      <c r="G31" s="5" t="s">
        <v>2827</v>
      </c>
      <c r="H31" s="5" t="s">
        <v>108</v>
      </c>
    </row>
    <row r="32" spans="1:8">
      <c r="A32" s="5" t="s">
        <v>2727</v>
      </c>
      <c r="B32" s="5" t="s">
        <v>2823</v>
      </c>
      <c r="C32" s="5" t="s">
        <v>2830</v>
      </c>
      <c r="D32" s="5" t="s">
        <v>2836</v>
      </c>
      <c r="E32" s="5" t="s">
        <v>108</v>
      </c>
      <c r="F32" s="5" t="s">
        <v>2852</v>
      </c>
      <c r="G32" s="5" t="s">
        <v>2827</v>
      </c>
      <c r="H32" s="5" t="s">
        <v>108</v>
      </c>
    </row>
    <row r="33" spans="1:8">
      <c r="A33" s="5" t="s">
        <v>2727</v>
      </c>
      <c r="B33" s="5" t="s">
        <v>2823</v>
      </c>
      <c r="C33" s="5" t="s">
        <v>2830</v>
      </c>
      <c r="D33" s="5" t="s">
        <v>2837</v>
      </c>
      <c r="E33" s="5" t="s">
        <v>108</v>
      </c>
      <c r="F33" s="5" t="s">
        <v>2852</v>
      </c>
      <c r="G33" s="5" t="s">
        <v>2827</v>
      </c>
      <c r="H33" s="5" t="s">
        <v>108</v>
      </c>
    </row>
    <row r="34" spans="1:8">
      <c r="A34" s="5" t="s">
        <v>2727</v>
      </c>
      <c r="B34" s="5" t="s">
        <v>2823</v>
      </c>
      <c r="C34" s="5" t="s">
        <v>2838</v>
      </c>
      <c r="D34" s="5" t="s">
        <v>2839</v>
      </c>
      <c r="E34" s="5" t="s">
        <v>108</v>
      </c>
      <c r="F34" s="5" t="s">
        <v>2852</v>
      </c>
      <c r="G34" s="5" t="s">
        <v>2827</v>
      </c>
      <c r="H34" s="5" t="s">
        <v>108</v>
      </c>
    </row>
    <row r="35" spans="1:8">
      <c r="A35" s="5" t="s">
        <v>2727</v>
      </c>
      <c r="B35" s="5" t="s">
        <v>2823</v>
      </c>
      <c r="C35" s="5" t="s">
        <v>2838</v>
      </c>
      <c r="D35" s="5" t="s">
        <v>2840</v>
      </c>
      <c r="E35" s="5" t="s">
        <v>108</v>
      </c>
      <c r="F35" s="5" t="s">
        <v>2852</v>
      </c>
      <c r="G35" s="5" t="s">
        <v>2827</v>
      </c>
      <c r="H35" s="5" t="s">
        <v>108</v>
      </c>
    </row>
    <row r="36" spans="1:8">
      <c r="A36" s="5" t="s">
        <v>2727</v>
      </c>
      <c r="B36" s="5" t="s">
        <v>2823</v>
      </c>
      <c r="C36" s="5" t="s">
        <v>2838</v>
      </c>
      <c r="D36" s="5" t="s">
        <v>2841</v>
      </c>
      <c r="E36" s="5" t="s">
        <v>108</v>
      </c>
      <c r="F36" s="5" t="s">
        <v>2852</v>
      </c>
      <c r="G36" s="5" t="s">
        <v>2827</v>
      </c>
      <c r="H36" s="5" t="s">
        <v>108</v>
      </c>
    </row>
    <row r="37" spans="1:8">
      <c r="A37" s="5" t="s">
        <v>2727</v>
      </c>
      <c r="B37" s="5" t="s">
        <v>2823</v>
      </c>
      <c r="C37" s="5" t="s">
        <v>2838</v>
      </c>
      <c r="D37" s="5" t="s">
        <v>2842</v>
      </c>
      <c r="E37" s="5" t="s">
        <v>108</v>
      </c>
      <c r="F37" s="5" t="s">
        <v>2852</v>
      </c>
      <c r="G37" s="5" t="s">
        <v>2827</v>
      </c>
      <c r="H37" s="5" t="s">
        <v>108</v>
      </c>
    </row>
    <row r="38" spans="1:8">
      <c r="A38" s="5" t="s">
        <v>2727</v>
      </c>
      <c r="B38" s="5" t="s">
        <v>2823</v>
      </c>
      <c r="C38" s="5" t="s">
        <v>2838</v>
      </c>
      <c r="D38" s="5" t="s">
        <v>2843</v>
      </c>
      <c r="E38" s="5" t="s">
        <v>108</v>
      </c>
      <c r="F38" s="5" t="s">
        <v>2852</v>
      </c>
      <c r="G38" s="5" t="s">
        <v>2827</v>
      </c>
      <c r="H38" s="5" t="s">
        <v>108</v>
      </c>
    </row>
    <row r="39" spans="1:8">
      <c r="A39" s="5" t="s">
        <v>2727</v>
      </c>
      <c r="B39" s="5" t="s">
        <v>2823</v>
      </c>
      <c r="C39" s="5" t="s">
        <v>2844</v>
      </c>
      <c r="D39" s="5" t="s">
        <v>2845</v>
      </c>
      <c r="E39" s="5" t="s">
        <v>108</v>
      </c>
      <c r="F39" s="5" t="s">
        <v>2852</v>
      </c>
      <c r="G39" s="5" t="s">
        <v>2827</v>
      </c>
      <c r="H39" s="5" t="s">
        <v>108</v>
      </c>
    </row>
    <row r="40" spans="1:8">
      <c r="A40" s="5" t="s">
        <v>2727</v>
      </c>
      <c r="B40" s="5" t="s">
        <v>2823</v>
      </c>
      <c r="C40" s="5" t="s">
        <v>2838</v>
      </c>
      <c r="D40" s="5" t="s">
        <v>2846</v>
      </c>
      <c r="E40" s="5" t="s">
        <v>108</v>
      </c>
      <c r="F40" s="5" t="s">
        <v>2852</v>
      </c>
      <c r="G40" s="5" t="s">
        <v>2827</v>
      </c>
      <c r="H40" s="5" t="s">
        <v>108</v>
      </c>
    </row>
    <row r="41" spans="1:8">
      <c r="A41" s="5" t="s">
        <v>2727</v>
      </c>
      <c r="B41" s="5" t="s">
        <v>2823</v>
      </c>
      <c r="C41" s="5" t="s">
        <v>2838</v>
      </c>
      <c r="D41" s="5" t="s">
        <v>2847</v>
      </c>
      <c r="E41" s="5" t="s">
        <v>108</v>
      </c>
      <c r="F41" s="5" t="s">
        <v>2852</v>
      </c>
      <c r="G41" s="5" t="s">
        <v>2827</v>
      </c>
      <c r="H41" s="5" t="s">
        <v>108</v>
      </c>
    </row>
    <row r="42" spans="1:8">
      <c r="A42" s="5" t="s">
        <v>2727</v>
      </c>
      <c r="B42" s="5" t="s">
        <v>2823</v>
      </c>
      <c r="C42" s="5" t="s">
        <v>2838</v>
      </c>
      <c r="D42" s="5" t="s">
        <v>2848</v>
      </c>
      <c r="E42" s="5" t="s">
        <v>108</v>
      </c>
      <c r="F42" s="5" t="s">
        <v>2852</v>
      </c>
      <c r="G42" s="5" t="s">
        <v>2827</v>
      </c>
      <c r="H42" s="5" t="s">
        <v>108</v>
      </c>
    </row>
    <row r="43" spans="1:8">
      <c r="A43" s="5" t="s">
        <v>2727</v>
      </c>
      <c r="B43" s="5" t="s">
        <v>2823</v>
      </c>
      <c r="C43" s="5" t="s">
        <v>2830</v>
      </c>
      <c r="D43" s="5" t="s">
        <v>2849</v>
      </c>
      <c r="E43" s="5" t="s">
        <v>108</v>
      </c>
      <c r="F43" s="5" t="s">
        <v>2852</v>
      </c>
      <c r="G43" s="5" t="s">
        <v>2827</v>
      </c>
      <c r="H43" s="5" t="s">
        <v>108</v>
      </c>
    </row>
    <row r="44" spans="1:8">
      <c r="A44" s="5" t="s">
        <v>2727</v>
      </c>
      <c r="B44" s="5" t="s">
        <v>2823</v>
      </c>
      <c r="C44" s="5" t="s">
        <v>2830</v>
      </c>
      <c r="D44" s="5" t="s">
        <v>2850</v>
      </c>
      <c r="E44" s="5" t="s">
        <v>108</v>
      </c>
      <c r="F44" s="5" t="s">
        <v>2852</v>
      </c>
      <c r="G44" s="5" t="s">
        <v>2827</v>
      </c>
      <c r="H44" s="5" t="s">
        <v>108</v>
      </c>
    </row>
    <row r="45" spans="1:8">
      <c r="A45" s="5" t="s">
        <v>2727</v>
      </c>
      <c r="B45" s="5" t="s">
        <v>2823</v>
      </c>
      <c r="C45" s="5" t="s">
        <v>2844</v>
      </c>
      <c r="D45" s="5" t="s">
        <v>2851</v>
      </c>
      <c r="E45" s="5" t="s">
        <v>108</v>
      </c>
      <c r="F45" s="5" t="s">
        <v>2852</v>
      </c>
      <c r="G45" s="5" t="s">
        <v>2827</v>
      </c>
      <c r="H45" s="5" t="s">
        <v>108</v>
      </c>
    </row>
    <row r="46" spans="1:8">
      <c r="A46" s="5" t="s">
        <v>2727</v>
      </c>
      <c r="B46" s="5" t="s">
        <v>2823</v>
      </c>
      <c r="C46" s="5" t="s">
        <v>2844</v>
      </c>
      <c r="D46" s="5" t="s">
        <v>2853</v>
      </c>
      <c r="E46" s="5" t="s">
        <v>108</v>
      </c>
      <c r="F46" s="5" t="s">
        <v>2852</v>
      </c>
      <c r="G46" s="5" t="s">
        <v>2827</v>
      </c>
      <c r="H46" s="5" t="s">
        <v>108</v>
      </c>
    </row>
    <row r="47" spans="1:8">
      <c r="A47" s="5" t="s">
        <v>2727</v>
      </c>
      <c r="B47" s="5" t="s">
        <v>2823</v>
      </c>
      <c r="C47" s="5" t="s">
        <v>2860</v>
      </c>
      <c r="D47" s="5" t="s">
        <v>2861</v>
      </c>
      <c r="E47" s="5" t="s">
        <v>108</v>
      </c>
      <c r="F47" s="5" t="s">
        <v>2852</v>
      </c>
      <c r="G47" s="5" t="s">
        <v>2827</v>
      </c>
      <c r="H47" s="5" t="s">
        <v>108</v>
      </c>
    </row>
    <row r="48" spans="1:8">
      <c r="A48" s="5" t="s">
        <v>2727</v>
      </c>
      <c r="B48" s="5" t="s">
        <v>2823</v>
      </c>
      <c r="C48" s="5" t="s">
        <v>2854</v>
      </c>
      <c r="D48" s="5" t="s">
        <v>2856</v>
      </c>
      <c r="E48" s="5" t="s">
        <v>108</v>
      </c>
      <c r="F48" s="5" t="s">
        <v>2852</v>
      </c>
      <c r="G48" s="5" t="s">
        <v>2827</v>
      </c>
      <c r="H48" s="5" t="s">
        <v>108</v>
      </c>
    </row>
    <row r="49" spans="1:8">
      <c r="A49" s="5" t="s">
        <v>2727</v>
      </c>
      <c r="B49" s="5" t="s">
        <v>2823</v>
      </c>
      <c r="C49" s="5" t="s">
        <v>2854</v>
      </c>
      <c r="D49" s="5" t="s">
        <v>2857</v>
      </c>
      <c r="E49" s="5" t="s">
        <v>108</v>
      </c>
      <c r="F49" s="5" t="s">
        <v>2852</v>
      </c>
      <c r="G49" s="5" t="s">
        <v>2827</v>
      </c>
      <c r="H49" s="5" t="s">
        <v>108</v>
      </c>
    </row>
    <row r="50" spans="1:8">
      <c r="A50" s="5" t="s">
        <v>2727</v>
      </c>
      <c r="B50" s="5" t="s">
        <v>2823</v>
      </c>
      <c r="C50" s="5" t="s">
        <v>2854</v>
      </c>
      <c r="D50" s="5" t="s">
        <v>2858</v>
      </c>
      <c r="E50" s="5" t="s">
        <v>108</v>
      </c>
      <c r="F50" s="5" t="s">
        <v>2852</v>
      </c>
      <c r="G50" s="5" t="s">
        <v>2827</v>
      </c>
      <c r="H50" s="5" t="s">
        <v>108</v>
      </c>
    </row>
    <row r="51" spans="1:8">
      <c r="A51" s="5" t="s">
        <v>2727</v>
      </c>
      <c r="B51" s="5" t="s">
        <v>2823</v>
      </c>
      <c r="C51" s="5" t="s">
        <v>2844</v>
      </c>
      <c r="D51" s="5" t="s">
        <v>2859</v>
      </c>
      <c r="E51" s="5" t="s">
        <v>108</v>
      </c>
      <c r="F51" s="5" t="s">
        <v>2852</v>
      </c>
      <c r="G51" s="5" t="s">
        <v>2827</v>
      </c>
      <c r="H51" s="5" t="s">
        <v>108</v>
      </c>
    </row>
    <row r="52" spans="1:8">
      <c r="A52" s="5" t="s">
        <v>2727</v>
      </c>
      <c r="B52" s="5" t="s">
        <v>2823</v>
      </c>
      <c r="C52" s="5" t="s">
        <v>2838</v>
      </c>
      <c r="D52" s="5" t="s">
        <v>2862</v>
      </c>
      <c r="E52" s="5" t="s">
        <v>108</v>
      </c>
      <c r="F52" s="5" t="s">
        <v>2863</v>
      </c>
      <c r="G52" s="5" t="s">
        <v>2827</v>
      </c>
      <c r="H52" s="5" t="s">
        <v>108</v>
      </c>
    </row>
    <row r="53" spans="1:8">
      <c r="A53" s="5" t="s">
        <v>2727</v>
      </c>
      <c r="B53" s="5" t="s">
        <v>2823</v>
      </c>
      <c r="C53" s="5" t="s">
        <v>2838</v>
      </c>
      <c r="D53" s="5" t="s">
        <v>2864</v>
      </c>
      <c r="E53" s="5" t="s">
        <v>108</v>
      </c>
      <c r="F53" s="5" t="s">
        <v>2863</v>
      </c>
      <c r="G53" s="5" t="s">
        <v>2827</v>
      </c>
      <c r="H53" s="5" t="s">
        <v>108</v>
      </c>
    </row>
    <row r="54" spans="1:8">
      <c r="A54" s="5" t="s">
        <v>2727</v>
      </c>
      <c r="B54" s="5" t="s">
        <v>2823</v>
      </c>
      <c r="C54" s="5" t="s">
        <v>2838</v>
      </c>
      <c r="D54" s="5" t="s">
        <v>2865</v>
      </c>
      <c r="E54" s="5" t="s">
        <v>108</v>
      </c>
      <c r="F54" s="5" t="s">
        <v>2863</v>
      </c>
      <c r="G54" s="5" t="s">
        <v>2827</v>
      </c>
      <c r="H54" s="5" t="s">
        <v>108</v>
      </c>
    </row>
    <row r="55" spans="1:8">
      <c r="A55" s="5" t="s">
        <v>2727</v>
      </c>
      <c r="B55" s="5" t="s">
        <v>2823</v>
      </c>
      <c r="C55" s="5" t="s">
        <v>2838</v>
      </c>
      <c r="D55" s="5" t="s">
        <v>2866</v>
      </c>
      <c r="E55" s="5" t="s">
        <v>108</v>
      </c>
      <c r="F55" s="5" t="s">
        <v>2863</v>
      </c>
      <c r="G55" s="5" t="s">
        <v>2827</v>
      </c>
      <c r="H55" s="5" t="s">
        <v>108</v>
      </c>
    </row>
    <row r="56" spans="1:8">
      <c r="A56" s="5" t="s">
        <v>2727</v>
      </c>
      <c r="B56" s="5" t="s">
        <v>2823</v>
      </c>
      <c r="C56" s="5" t="s">
        <v>2838</v>
      </c>
      <c r="D56" s="5" t="s">
        <v>2867</v>
      </c>
      <c r="E56" s="5" t="s">
        <v>108</v>
      </c>
      <c r="F56" s="5" t="s">
        <v>2863</v>
      </c>
      <c r="G56" s="5" t="s">
        <v>2827</v>
      </c>
      <c r="H56" s="5" t="s">
        <v>108</v>
      </c>
    </row>
    <row r="57" spans="1:8">
      <c r="A57" s="5" t="s">
        <v>2727</v>
      </c>
      <c r="B57" s="5" t="s">
        <v>2823</v>
      </c>
      <c r="C57" s="5" t="s">
        <v>2844</v>
      </c>
      <c r="D57" s="5" t="s">
        <v>2868</v>
      </c>
      <c r="E57" s="5" t="s">
        <v>108</v>
      </c>
      <c r="F57" s="5" t="s">
        <v>2863</v>
      </c>
      <c r="G57" s="5" t="s">
        <v>2827</v>
      </c>
      <c r="H57" s="5" t="s">
        <v>108</v>
      </c>
    </row>
    <row r="58" spans="1:8">
      <c r="A58" s="5" t="s">
        <v>2727</v>
      </c>
      <c r="B58" s="5" t="s">
        <v>2823</v>
      </c>
      <c r="C58" s="5" t="s">
        <v>2844</v>
      </c>
      <c r="D58" s="5" t="s">
        <v>2869</v>
      </c>
      <c r="E58" s="5" t="s">
        <v>108</v>
      </c>
      <c r="F58" s="5" t="s">
        <v>2863</v>
      </c>
      <c r="G58" s="5" t="s">
        <v>2827</v>
      </c>
      <c r="H58" s="5" t="s">
        <v>108</v>
      </c>
    </row>
    <row r="59" spans="1:8">
      <c r="A59" s="5" t="s">
        <v>2727</v>
      </c>
      <c r="B59" s="5" t="s">
        <v>2823</v>
      </c>
      <c r="C59" s="5" t="s">
        <v>2844</v>
      </c>
      <c r="D59" s="5" t="s">
        <v>2870</v>
      </c>
      <c r="E59" s="5" t="s">
        <v>108</v>
      </c>
      <c r="F59" s="5" t="s">
        <v>2863</v>
      </c>
      <c r="G59" s="5" t="s">
        <v>2827</v>
      </c>
      <c r="H59" s="5" t="s">
        <v>108</v>
      </c>
    </row>
    <row r="60" spans="1:8">
      <c r="A60" s="5" t="s">
        <v>2727</v>
      </c>
      <c r="B60" s="5" t="s">
        <v>2823</v>
      </c>
      <c r="C60" s="5" t="s">
        <v>2844</v>
      </c>
      <c r="D60" s="5" t="s">
        <v>2871</v>
      </c>
      <c r="E60" s="5" t="s">
        <v>108</v>
      </c>
      <c r="F60" s="5" t="s">
        <v>2863</v>
      </c>
      <c r="G60" s="5" t="s">
        <v>2827</v>
      </c>
      <c r="H60" s="5" t="s">
        <v>108</v>
      </c>
    </row>
    <row r="61" spans="1:8">
      <c r="A61" s="5" t="s">
        <v>2727</v>
      </c>
      <c r="B61" s="5" t="s">
        <v>2823</v>
      </c>
      <c r="C61" s="5" t="s">
        <v>2844</v>
      </c>
      <c r="D61" s="5" t="s">
        <v>2872</v>
      </c>
      <c r="E61" s="5" t="s">
        <v>108</v>
      </c>
      <c r="F61" s="5" t="s">
        <v>2863</v>
      </c>
      <c r="G61" s="5" t="s">
        <v>2827</v>
      </c>
      <c r="H61" s="5" t="s">
        <v>108</v>
      </c>
    </row>
    <row r="62" spans="1:8">
      <c r="A62" s="5" t="s">
        <v>2727</v>
      </c>
      <c r="B62" s="5" t="s">
        <v>2823</v>
      </c>
      <c r="C62" s="5" t="s">
        <v>2844</v>
      </c>
      <c r="D62" s="5" t="s">
        <v>2873</v>
      </c>
      <c r="E62" s="5" t="s">
        <v>108</v>
      </c>
      <c r="F62" s="5" t="s">
        <v>2863</v>
      </c>
      <c r="G62" s="5" t="s">
        <v>2827</v>
      </c>
      <c r="H62" s="5" t="s">
        <v>108</v>
      </c>
    </row>
    <row r="63" spans="1:8">
      <c r="A63" s="5" t="s">
        <v>2727</v>
      </c>
      <c r="B63" s="5" t="s">
        <v>2823</v>
      </c>
      <c r="C63" s="5" t="s">
        <v>2844</v>
      </c>
      <c r="D63" s="5" t="s">
        <v>2874</v>
      </c>
      <c r="E63" s="5" t="s">
        <v>108</v>
      </c>
      <c r="F63" s="5" t="s">
        <v>2863</v>
      </c>
      <c r="G63" s="5" t="s">
        <v>2827</v>
      </c>
      <c r="H63" s="5" t="s">
        <v>108</v>
      </c>
    </row>
    <row r="64" spans="1:8">
      <c r="A64" s="5" t="s">
        <v>2727</v>
      </c>
      <c r="B64" s="5" t="s">
        <v>2823</v>
      </c>
      <c r="C64" s="5" t="s">
        <v>2844</v>
      </c>
      <c r="D64" s="5" t="s">
        <v>2875</v>
      </c>
      <c r="E64" s="5" t="s">
        <v>108</v>
      </c>
      <c r="F64" s="5" t="s">
        <v>2863</v>
      </c>
      <c r="G64" s="5" t="s">
        <v>2827</v>
      </c>
      <c r="H64" s="5" t="s">
        <v>108</v>
      </c>
    </row>
    <row r="65" spans="1:8">
      <c r="A65" s="5" t="s">
        <v>2727</v>
      </c>
      <c r="B65" s="5" t="s">
        <v>2823</v>
      </c>
      <c r="C65" s="5" t="s">
        <v>2844</v>
      </c>
      <c r="D65" s="5" t="s">
        <v>2876</v>
      </c>
      <c r="E65" s="5" t="s">
        <v>108</v>
      </c>
      <c r="F65" s="5" t="s">
        <v>2863</v>
      </c>
      <c r="G65" s="5" t="s">
        <v>2827</v>
      </c>
      <c r="H65" s="5" t="s">
        <v>108</v>
      </c>
    </row>
    <row r="66" spans="1:8">
      <c r="A66" s="5" t="s">
        <v>2727</v>
      </c>
      <c r="B66" s="5" t="s">
        <v>2823</v>
      </c>
      <c r="C66" s="5" t="s">
        <v>2844</v>
      </c>
      <c r="D66" s="5" t="s">
        <v>2877</v>
      </c>
      <c r="E66" s="5" t="s">
        <v>108</v>
      </c>
      <c r="F66" s="5" t="s">
        <v>2863</v>
      </c>
      <c r="G66" s="5" t="s">
        <v>2827</v>
      </c>
      <c r="H66" s="5" t="s">
        <v>108</v>
      </c>
    </row>
    <row r="67" spans="1:8">
      <c r="A67" s="5" t="s">
        <v>2727</v>
      </c>
      <c r="B67" s="5" t="s">
        <v>2823</v>
      </c>
      <c r="C67" s="5" t="s">
        <v>2844</v>
      </c>
      <c r="D67" s="5" t="s">
        <v>2878</v>
      </c>
      <c r="E67" s="5" t="s">
        <v>108</v>
      </c>
      <c r="F67" s="5" t="s">
        <v>2863</v>
      </c>
      <c r="G67" s="5" t="s">
        <v>2827</v>
      </c>
      <c r="H67" s="5" t="s">
        <v>108</v>
      </c>
    </row>
    <row r="68" spans="1:8">
      <c r="A68" s="5" t="s">
        <v>2727</v>
      </c>
      <c r="B68" s="5" t="s">
        <v>2823</v>
      </c>
      <c r="C68" s="5" t="s">
        <v>2844</v>
      </c>
      <c r="D68" s="5" t="s">
        <v>2879</v>
      </c>
      <c r="E68" s="5" t="s">
        <v>108</v>
      </c>
      <c r="F68" s="5" t="s">
        <v>2863</v>
      </c>
      <c r="G68" s="5" t="s">
        <v>2827</v>
      </c>
      <c r="H68" s="5" t="s">
        <v>108</v>
      </c>
    </row>
    <row r="69" spans="1:8">
      <c r="A69" s="5" t="s">
        <v>2727</v>
      </c>
      <c r="B69" s="5" t="s">
        <v>2823</v>
      </c>
      <c r="C69" s="5" t="s">
        <v>2844</v>
      </c>
      <c r="D69" s="5" t="s">
        <v>2880</v>
      </c>
      <c r="E69" s="5" t="s">
        <v>108</v>
      </c>
      <c r="F69" s="5" t="s">
        <v>2863</v>
      </c>
      <c r="G69" s="5" t="s">
        <v>2827</v>
      </c>
      <c r="H69" s="5" t="s">
        <v>108</v>
      </c>
    </row>
    <row r="70" spans="1:8">
      <c r="A70" s="5" t="s">
        <v>2727</v>
      </c>
      <c r="B70" s="5" t="s">
        <v>2823</v>
      </c>
      <c r="C70" s="5" t="s">
        <v>2844</v>
      </c>
      <c r="D70" s="5" t="s">
        <v>2881</v>
      </c>
      <c r="E70" s="5" t="s">
        <v>108</v>
      </c>
      <c r="F70" s="5" t="s">
        <v>2863</v>
      </c>
      <c r="G70" s="5" t="s">
        <v>2827</v>
      </c>
      <c r="H70" s="5" t="s">
        <v>108</v>
      </c>
    </row>
    <row r="71" spans="1:8">
      <c r="A71" s="5" t="s">
        <v>2727</v>
      </c>
      <c r="B71" s="5" t="s">
        <v>2823</v>
      </c>
      <c r="C71" s="5" t="s">
        <v>2844</v>
      </c>
      <c r="D71" s="5" t="s">
        <v>2882</v>
      </c>
      <c r="E71" s="5" t="s">
        <v>108</v>
      </c>
      <c r="F71" s="5" t="s">
        <v>2863</v>
      </c>
      <c r="G71" s="5" t="s">
        <v>2827</v>
      </c>
      <c r="H71" s="5" t="s">
        <v>108</v>
      </c>
    </row>
    <row r="72" spans="1:8">
      <c r="A72" s="5" t="s">
        <v>2727</v>
      </c>
      <c r="B72" s="5" t="s">
        <v>2823</v>
      </c>
      <c r="C72" s="5" t="s">
        <v>2844</v>
      </c>
      <c r="D72" s="5" t="s">
        <v>2883</v>
      </c>
      <c r="E72" s="5" t="s">
        <v>108</v>
      </c>
      <c r="F72" s="5" t="s">
        <v>2863</v>
      </c>
      <c r="G72" s="5" t="s">
        <v>2827</v>
      </c>
      <c r="H72" s="5" t="s">
        <v>108</v>
      </c>
    </row>
    <row r="73" spans="1:8">
      <c r="A73" s="5" t="s">
        <v>2727</v>
      </c>
      <c r="B73" s="5" t="s">
        <v>2823</v>
      </c>
      <c r="C73" s="5" t="s">
        <v>2844</v>
      </c>
      <c r="D73" s="5" t="s">
        <v>2884</v>
      </c>
      <c r="E73" s="5" t="s">
        <v>108</v>
      </c>
      <c r="F73" s="5" t="s">
        <v>2863</v>
      </c>
      <c r="G73" s="5" t="s">
        <v>2827</v>
      </c>
      <c r="H73" s="5" t="s">
        <v>108</v>
      </c>
    </row>
    <row r="74" spans="1:8">
      <c r="A74" s="5" t="s">
        <v>2727</v>
      </c>
      <c r="B74" s="5" t="s">
        <v>2823</v>
      </c>
      <c r="C74" s="5" t="s">
        <v>2844</v>
      </c>
      <c r="D74" s="5" t="s">
        <v>2885</v>
      </c>
      <c r="E74" s="5" t="s">
        <v>108</v>
      </c>
      <c r="F74" s="5" t="s">
        <v>2863</v>
      </c>
      <c r="G74" s="5" t="s">
        <v>2827</v>
      </c>
      <c r="H74" s="5" t="s">
        <v>108</v>
      </c>
    </row>
    <row r="75" spans="1:8">
      <c r="A75" s="5" t="s">
        <v>2727</v>
      </c>
      <c r="B75" s="5" t="s">
        <v>2823</v>
      </c>
      <c r="C75" s="5" t="s">
        <v>2844</v>
      </c>
      <c r="D75" s="5" t="s">
        <v>2886</v>
      </c>
      <c r="E75" s="5" t="s">
        <v>108</v>
      </c>
      <c r="F75" s="5" t="s">
        <v>2863</v>
      </c>
      <c r="G75" s="5" t="s">
        <v>2827</v>
      </c>
      <c r="H75" s="5" t="s">
        <v>108</v>
      </c>
    </row>
    <row r="76" spans="1:8">
      <c r="A76" s="5" t="s">
        <v>2727</v>
      </c>
      <c r="B76" s="5" t="s">
        <v>2823</v>
      </c>
      <c r="C76" s="5" t="s">
        <v>2844</v>
      </c>
      <c r="D76" s="5" t="s">
        <v>2887</v>
      </c>
      <c r="E76" s="5" t="s">
        <v>108</v>
      </c>
      <c r="F76" s="5" t="s">
        <v>2863</v>
      </c>
      <c r="G76" s="5" t="s">
        <v>2827</v>
      </c>
      <c r="H76" s="5" t="s">
        <v>108</v>
      </c>
    </row>
    <row r="77" spans="1:8">
      <c r="A77" s="5" t="s">
        <v>2727</v>
      </c>
      <c r="B77" s="5" t="s">
        <v>2823</v>
      </c>
      <c r="C77" s="5" t="s">
        <v>2844</v>
      </c>
      <c r="D77" s="5" t="s">
        <v>2888</v>
      </c>
      <c r="E77" s="5" t="s">
        <v>108</v>
      </c>
      <c r="F77" s="5" t="s">
        <v>2863</v>
      </c>
      <c r="G77" s="5" t="s">
        <v>2827</v>
      </c>
      <c r="H77" s="5" t="s">
        <v>108</v>
      </c>
    </row>
    <row r="78" spans="1:8">
      <c r="A78" s="5" t="s">
        <v>2727</v>
      </c>
      <c r="B78" s="5" t="s">
        <v>2823</v>
      </c>
      <c r="C78" s="5" t="s">
        <v>2844</v>
      </c>
      <c r="D78" s="5" t="s">
        <v>2889</v>
      </c>
      <c r="E78" s="5" t="s">
        <v>108</v>
      </c>
      <c r="F78" s="5" t="s">
        <v>2863</v>
      </c>
      <c r="G78" s="5" t="s">
        <v>2827</v>
      </c>
      <c r="H78" s="5" t="s">
        <v>108</v>
      </c>
    </row>
    <row r="79" spans="1:8">
      <c r="A79" s="5" t="s">
        <v>2727</v>
      </c>
      <c r="B79" s="5" t="s">
        <v>2823</v>
      </c>
      <c r="C79" s="5" t="s">
        <v>2844</v>
      </c>
      <c r="D79" s="5" t="s">
        <v>2890</v>
      </c>
      <c r="E79" s="5" t="s">
        <v>108</v>
      </c>
      <c r="F79" s="5" t="s">
        <v>2863</v>
      </c>
      <c r="G79" s="5" t="s">
        <v>2827</v>
      </c>
      <c r="H79" s="5" t="s">
        <v>108</v>
      </c>
    </row>
    <row r="80" spans="1:8">
      <c r="A80" s="5" t="s">
        <v>2727</v>
      </c>
      <c r="B80" s="5" t="s">
        <v>2823</v>
      </c>
      <c r="C80" s="5" t="s">
        <v>2844</v>
      </c>
      <c r="D80" s="5" t="s">
        <v>2891</v>
      </c>
      <c r="E80" s="5" t="s">
        <v>108</v>
      </c>
      <c r="F80" s="5" t="s">
        <v>2863</v>
      </c>
      <c r="G80" s="5" t="s">
        <v>2827</v>
      </c>
      <c r="H80" s="5" t="s">
        <v>108</v>
      </c>
    </row>
    <row r="81" spans="1:8">
      <c r="A81" s="5" t="s">
        <v>2727</v>
      </c>
      <c r="B81" s="5" t="s">
        <v>2823</v>
      </c>
      <c r="C81" s="5" t="s">
        <v>2844</v>
      </c>
      <c r="D81" s="5" t="s">
        <v>2892</v>
      </c>
      <c r="E81" s="5" t="s">
        <v>108</v>
      </c>
      <c r="F81" s="5" t="s">
        <v>2863</v>
      </c>
      <c r="G81" s="5" t="s">
        <v>2827</v>
      </c>
      <c r="H81" s="5" t="s">
        <v>108</v>
      </c>
    </row>
    <row r="82" spans="1:8">
      <c r="A82" s="5" t="s">
        <v>2727</v>
      </c>
      <c r="B82" s="5" t="s">
        <v>2823</v>
      </c>
      <c r="C82" s="5" t="s">
        <v>2860</v>
      </c>
      <c r="D82" s="5" t="s">
        <v>2893</v>
      </c>
      <c r="E82" s="5" t="s">
        <v>108</v>
      </c>
      <c r="F82" s="5" t="s">
        <v>2863</v>
      </c>
      <c r="G82" s="5" t="s">
        <v>2827</v>
      </c>
      <c r="H82" s="5" t="s">
        <v>108</v>
      </c>
    </row>
    <row r="83" spans="1:8">
      <c r="A83" s="5" t="s">
        <v>2727</v>
      </c>
      <c r="B83" s="5" t="s">
        <v>2823</v>
      </c>
      <c r="C83" s="5" t="s">
        <v>2838</v>
      </c>
      <c r="D83" s="5" t="s">
        <v>2894</v>
      </c>
      <c r="E83" s="5" t="s">
        <v>108</v>
      </c>
      <c r="F83" s="5" t="s">
        <v>2863</v>
      </c>
      <c r="G83" s="5" t="s">
        <v>2827</v>
      </c>
      <c r="H83" s="5" t="s">
        <v>108</v>
      </c>
    </row>
    <row r="84" spans="1:8">
      <c r="A84" s="5" t="s">
        <v>2749</v>
      </c>
      <c r="B84" s="5" t="s">
        <v>2895</v>
      </c>
      <c r="C84" s="5" t="s">
        <v>2896</v>
      </c>
      <c r="D84" s="5" t="s">
        <v>2897</v>
      </c>
      <c r="E84" s="5" t="s">
        <v>108</v>
      </c>
      <c r="F84" s="5" t="s">
        <v>2826</v>
      </c>
      <c r="G84" s="5" t="s">
        <v>2827</v>
      </c>
      <c r="H84" s="5" t="s">
        <v>108</v>
      </c>
    </row>
    <row r="85" spans="1:8">
      <c r="A85" s="5" t="s">
        <v>2749</v>
      </c>
      <c r="B85" s="5" t="s">
        <v>2756</v>
      </c>
      <c r="C85" s="5" t="s">
        <v>2898</v>
      </c>
      <c r="D85" s="5" t="s">
        <v>2899</v>
      </c>
      <c r="E85" s="5" t="s">
        <v>108</v>
      </c>
      <c r="F85" s="5" t="s">
        <v>2900</v>
      </c>
      <c r="G85" s="5" t="s">
        <v>2827</v>
      </c>
      <c r="H85" s="5" t="s">
        <v>108</v>
      </c>
    </row>
    <row r="86" spans="1:8">
      <c r="A86" s="5" t="s">
        <v>2749</v>
      </c>
      <c r="B86" s="5" t="s">
        <v>2756</v>
      </c>
      <c r="C86" s="5" t="s">
        <v>2901</v>
      </c>
      <c r="D86" s="5" t="s">
        <v>2899</v>
      </c>
      <c r="E86" s="5" t="s">
        <v>108</v>
      </c>
      <c r="F86" s="5" t="s">
        <v>2902</v>
      </c>
      <c r="G86" s="5" t="s">
        <v>2827</v>
      </c>
      <c r="H86" s="5" t="s">
        <v>108</v>
      </c>
    </row>
    <row r="87" spans="1:8">
      <c r="A87" s="5" t="s">
        <v>2759</v>
      </c>
      <c r="B87" s="5" t="s">
        <v>2760</v>
      </c>
      <c r="C87" s="5" t="s">
        <v>2903</v>
      </c>
      <c r="D87" s="5" t="s">
        <v>2904</v>
      </c>
      <c r="E87" s="5" t="s">
        <v>108</v>
      </c>
      <c r="F87" s="5" t="s">
        <v>2826</v>
      </c>
      <c r="G87" s="5" t="s">
        <v>2827</v>
      </c>
      <c r="H87" s="5" t="s">
        <v>108</v>
      </c>
    </row>
    <row r="88" spans="1:8">
      <c r="A88" s="5" t="s">
        <v>2764</v>
      </c>
      <c r="B88" s="5" t="s">
        <v>2765</v>
      </c>
      <c r="C88" s="5" t="s">
        <v>2905</v>
      </c>
      <c r="D88" s="5" t="s">
        <v>108</v>
      </c>
      <c r="E88" s="5" t="s">
        <v>108</v>
      </c>
      <c r="F88" s="5" t="s">
        <v>2906</v>
      </c>
      <c r="G88" s="5" t="s">
        <v>2827</v>
      </c>
      <c r="H88" s="5" t="s">
        <v>108</v>
      </c>
    </row>
    <row r="89" spans="1:8">
      <c r="A89" s="5" t="s">
        <v>2764</v>
      </c>
      <c r="B89" s="5" t="s">
        <v>2765</v>
      </c>
      <c r="C89" s="5" t="s">
        <v>2907</v>
      </c>
      <c r="D89" s="5" t="s">
        <v>108</v>
      </c>
      <c r="E89" s="5" t="s">
        <v>108</v>
      </c>
      <c r="F89" s="5" t="s">
        <v>2906</v>
      </c>
      <c r="G89" s="5" t="s">
        <v>2827</v>
      </c>
      <c r="H89" s="5" t="s">
        <v>108</v>
      </c>
    </row>
    <row r="90" spans="1:8">
      <c r="A90" s="5" t="s">
        <v>2764</v>
      </c>
      <c r="B90" s="5" t="s">
        <v>2765</v>
      </c>
      <c r="C90" s="5" t="s">
        <v>2907</v>
      </c>
      <c r="D90" s="5" t="s">
        <v>108</v>
      </c>
      <c r="E90" s="5" t="s">
        <v>108</v>
      </c>
      <c r="F90" s="5" t="s">
        <v>2906</v>
      </c>
      <c r="G90" s="5" t="s">
        <v>2827</v>
      </c>
      <c r="H90" s="5" t="s">
        <v>108</v>
      </c>
    </row>
    <row r="91" spans="1:8">
      <c r="A91" s="5" t="s">
        <v>2764</v>
      </c>
      <c r="B91" s="5" t="s">
        <v>2765</v>
      </c>
      <c r="C91" s="5" t="s">
        <v>2908</v>
      </c>
      <c r="D91" s="5" t="s">
        <v>2909</v>
      </c>
      <c r="E91" s="5" t="s">
        <v>108</v>
      </c>
      <c r="F91" s="5" t="s">
        <v>2910</v>
      </c>
      <c r="G91" s="5" t="s">
        <v>2827</v>
      </c>
      <c r="H91" s="5" t="s">
        <v>108</v>
      </c>
    </row>
    <row r="92" spans="1:8">
      <c r="A92" s="5" t="s">
        <v>2764</v>
      </c>
      <c r="B92" s="5" t="s">
        <v>2765</v>
      </c>
      <c r="C92" s="5" t="s">
        <v>2908</v>
      </c>
      <c r="D92" s="5" t="s">
        <v>2911</v>
      </c>
      <c r="E92" s="5" t="s">
        <v>108</v>
      </c>
      <c r="F92" s="5" t="s">
        <v>2912</v>
      </c>
      <c r="G92" s="5" t="s">
        <v>2827</v>
      </c>
      <c r="H92" s="5" t="s">
        <v>108</v>
      </c>
    </row>
    <row r="93" spans="1:8">
      <c r="A93" s="5" t="s">
        <v>2764</v>
      </c>
      <c r="B93" s="5" t="s">
        <v>2913</v>
      </c>
      <c r="C93" s="5" t="s">
        <v>2914</v>
      </c>
      <c r="D93" s="5" t="s">
        <v>2915</v>
      </c>
      <c r="E93" s="5" t="s">
        <v>108</v>
      </c>
      <c r="F93" s="5" t="s">
        <v>2910</v>
      </c>
      <c r="G93" s="5" t="s">
        <v>2827</v>
      </c>
      <c r="H93" s="5" t="s">
        <v>108</v>
      </c>
    </row>
    <row r="94" spans="1:8">
      <c r="A94" s="5" t="s">
        <v>2764</v>
      </c>
      <c r="B94" s="5" t="s">
        <v>2916</v>
      </c>
      <c r="C94" s="5" t="s">
        <v>2917</v>
      </c>
      <c r="D94" s="5" t="s">
        <v>108</v>
      </c>
      <c r="E94" s="5" t="s">
        <v>108</v>
      </c>
      <c r="F94" s="5" t="s">
        <v>2912</v>
      </c>
      <c r="G94" s="5" t="s">
        <v>2827</v>
      </c>
      <c r="H94" s="5" t="s">
        <v>108</v>
      </c>
    </row>
    <row r="95" spans="1:8">
      <c r="A95" s="5" t="s">
        <v>2918</v>
      </c>
      <c r="B95" s="5" t="s">
        <v>1502</v>
      </c>
      <c r="C95" s="5" t="s">
        <v>108</v>
      </c>
      <c r="D95" s="5" t="s">
        <v>108</v>
      </c>
      <c r="E95" s="5" t="s">
        <v>108</v>
      </c>
      <c r="F95" s="5" t="s">
        <v>2826</v>
      </c>
      <c r="G95" s="5" t="s">
        <v>2827</v>
      </c>
      <c r="H95" s="5" t="s">
        <v>108</v>
      </c>
    </row>
    <row r="96" spans="1:8">
      <c r="A96" s="5" t="s">
        <v>2784</v>
      </c>
      <c r="B96" s="5" t="s">
        <v>2785</v>
      </c>
      <c r="C96" s="5" t="s">
        <v>2919</v>
      </c>
      <c r="D96" s="5" t="s">
        <v>2920</v>
      </c>
      <c r="E96" s="5" t="s">
        <v>108</v>
      </c>
      <c r="F96" s="5" t="s">
        <v>2852</v>
      </c>
      <c r="G96" s="5" t="s">
        <v>2827</v>
      </c>
      <c r="H96" s="5" t="s">
        <v>108</v>
      </c>
    </row>
    <row r="97" spans="1:8">
      <c r="A97" s="5" t="s">
        <v>2784</v>
      </c>
      <c r="B97" s="5" t="s">
        <v>2785</v>
      </c>
      <c r="C97" s="5" t="s">
        <v>2919</v>
      </c>
      <c r="D97" s="5" t="s">
        <v>2921</v>
      </c>
      <c r="E97" s="5" t="s">
        <v>108</v>
      </c>
      <c r="F97" s="5" t="s">
        <v>2852</v>
      </c>
      <c r="G97" s="5" t="s">
        <v>2827</v>
      </c>
      <c r="H97" s="5" t="s">
        <v>108</v>
      </c>
    </row>
    <row r="98" spans="1:8">
      <c r="A98" s="5" t="s">
        <v>2784</v>
      </c>
      <c r="B98" s="5" t="s">
        <v>2785</v>
      </c>
      <c r="C98" s="5" t="s">
        <v>2919</v>
      </c>
      <c r="D98" s="5" t="s">
        <v>2922</v>
      </c>
      <c r="E98" s="5" t="s">
        <v>108</v>
      </c>
      <c r="F98" s="5" t="s">
        <v>2852</v>
      </c>
      <c r="G98" s="5" t="s">
        <v>2827</v>
      </c>
      <c r="H98" s="5" t="s">
        <v>108</v>
      </c>
    </row>
    <row r="99" spans="1:8">
      <c r="A99" s="5" t="s">
        <v>2784</v>
      </c>
      <c r="B99" s="5" t="s">
        <v>2785</v>
      </c>
      <c r="C99" s="5" t="s">
        <v>2919</v>
      </c>
      <c r="D99" s="5" t="s">
        <v>2923</v>
      </c>
      <c r="E99" s="5" t="s">
        <v>108</v>
      </c>
      <c r="F99" s="5" t="s">
        <v>2852</v>
      </c>
      <c r="G99" s="5" t="s">
        <v>2827</v>
      </c>
      <c r="H99" s="5" t="s">
        <v>108</v>
      </c>
    </row>
    <row r="100" spans="1:8">
      <c r="A100" s="5" t="s">
        <v>2784</v>
      </c>
      <c r="B100" s="5" t="s">
        <v>2785</v>
      </c>
      <c r="C100" s="5" t="s">
        <v>2919</v>
      </c>
      <c r="D100" s="5" t="s">
        <v>2924</v>
      </c>
      <c r="E100" s="5" t="s">
        <v>108</v>
      </c>
      <c r="F100" s="5" t="s">
        <v>2852</v>
      </c>
      <c r="G100" s="5" t="s">
        <v>2827</v>
      </c>
      <c r="H100" s="5" t="s">
        <v>108</v>
      </c>
    </row>
    <row r="101" spans="1:8">
      <c r="A101" s="5" t="s">
        <v>2784</v>
      </c>
      <c r="B101" s="5" t="s">
        <v>2785</v>
      </c>
      <c r="C101" s="5" t="s">
        <v>2919</v>
      </c>
      <c r="D101" s="5" t="s">
        <v>2925</v>
      </c>
      <c r="E101" s="5" t="s">
        <v>108</v>
      </c>
      <c r="F101" s="5" t="s">
        <v>2852</v>
      </c>
      <c r="G101" s="5" t="s">
        <v>2827</v>
      </c>
      <c r="H101" s="5" t="s">
        <v>108</v>
      </c>
    </row>
    <row r="102" spans="1:8">
      <c r="A102" s="5" t="s">
        <v>2784</v>
      </c>
      <c r="B102" s="5" t="s">
        <v>2785</v>
      </c>
      <c r="C102" s="5" t="s">
        <v>2919</v>
      </c>
      <c r="D102" s="5" t="s">
        <v>2926</v>
      </c>
      <c r="E102" s="5" t="s">
        <v>108</v>
      </c>
      <c r="F102" s="5" t="s">
        <v>2852</v>
      </c>
      <c r="G102" s="5" t="s">
        <v>2827</v>
      </c>
      <c r="H102" s="5" t="s">
        <v>108</v>
      </c>
    </row>
    <row r="103" spans="1:8">
      <c r="A103" s="5" t="s">
        <v>2784</v>
      </c>
      <c r="B103" s="5" t="s">
        <v>2785</v>
      </c>
      <c r="C103" s="5" t="s">
        <v>2919</v>
      </c>
      <c r="D103" s="5" t="s">
        <v>2927</v>
      </c>
      <c r="E103" s="5" t="s">
        <v>108</v>
      </c>
      <c r="F103" s="5" t="s">
        <v>2852</v>
      </c>
      <c r="G103" s="5" t="s">
        <v>2827</v>
      </c>
      <c r="H103" s="5" t="s">
        <v>108</v>
      </c>
    </row>
    <row r="104" spans="1:8">
      <c r="A104" s="5" t="s">
        <v>2784</v>
      </c>
      <c r="B104" s="5" t="s">
        <v>2785</v>
      </c>
      <c r="C104" s="5" t="s">
        <v>2919</v>
      </c>
      <c r="D104" s="5" t="s">
        <v>2928</v>
      </c>
      <c r="E104" s="5" t="s">
        <v>108</v>
      </c>
      <c r="F104" s="5" t="s">
        <v>2852</v>
      </c>
      <c r="G104" s="5" t="s">
        <v>2827</v>
      </c>
      <c r="H104" s="5" t="s">
        <v>108</v>
      </c>
    </row>
    <row r="105" spans="1:8">
      <c r="A105" s="5" t="s">
        <v>2784</v>
      </c>
      <c r="B105" s="5" t="s">
        <v>2785</v>
      </c>
      <c r="C105" s="5" t="s">
        <v>2919</v>
      </c>
      <c r="D105" s="5" t="s">
        <v>2929</v>
      </c>
      <c r="E105" s="5" t="s">
        <v>108</v>
      </c>
      <c r="F105" s="5" t="s">
        <v>2852</v>
      </c>
      <c r="G105" s="5" t="s">
        <v>2827</v>
      </c>
      <c r="H105" s="5" t="s">
        <v>108</v>
      </c>
    </row>
    <row r="106" spans="1:8">
      <c r="A106" s="5" t="s">
        <v>2784</v>
      </c>
      <c r="B106" s="5" t="s">
        <v>2785</v>
      </c>
      <c r="C106" s="5" t="s">
        <v>2919</v>
      </c>
      <c r="D106" s="5" t="s">
        <v>2930</v>
      </c>
      <c r="E106" s="5" t="s">
        <v>108</v>
      </c>
      <c r="F106" s="5" t="s">
        <v>2832</v>
      </c>
      <c r="G106" s="5" t="s">
        <v>2827</v>
      </c>
      <c r="H106" s="5" t="s">
        <v>108</v>
      </c>
    </row>
    <row r="107" spans="1:8">
      <c r="A107" s="5" t="s">
        <v>2784</v>
      </c>
      <c r="B107" s="5" t="s">
        <v>2785</v>
      </c>
      <c r="C107" s="5" t="s">
        <v>2919</v>
      </c>
      <c r="D107" s="5" t="s">
        <v>2931</v>
      </c>
      <c r="E107" s="5" t="s">
        <v>108</v>
      </c>
      <c r="F107" s="5" t="s">
        <v>2832</v>
      </c>
      <c r="G107" s="5" t="s">
        <v>2827</v>
      </c>
      <c r="H107" s="5" t="s">
        <v>108</v>
      </c>
    </row>
    <row r="108" spans="1:8">
      <c r="A108" s="5" t="s">
        <v>2784</v>
      </c>
      <c r="B108" s="5" t="s">
        <v>2785</v>
      </c>
      <c r="C108" s="5" t="s">
        <v>2919</v>
      </c>
      <c r="D108" s="5" t="s">
        <v>2932</v>
      </c>
      <c r="E108" s="5" t="s">
        <v>108</v>
      </c>
      <c r="F108" s="5" t="s">
        <v>2832</v>
      </c>
      <c r="G108" s="5" t="s">
        <v>2827</v>
      </c>
      <c r="H108" s="5" t="s">
        <v>108</v>
      </c>
    </row>
    <row r="109" spans="1:8">
      <c r="A109" s="5" t="s">
        <v>2784</v>
      </c>
      <c r="B109" s="5" t="s">
        <v>2785</v>
      </c>
      <c r="C109" s="5" t="s">
        <v>2919</v>
      </c>
      <c r="D109" s="5" t="s">
        <v>2933</v>
      </c>
      <c r="E109" s="5" t="s">
        <v>108</v>
      </c>
      <c r="F109" s="5" t="s">
        <v>2832</v>
      </c>
      <c r="G109" s="5" t="s">
        <v>2827</v>
      </c>
      <c r="H109" s="5" t="s">
        <v>108</v>
      </c>
    </row>
    <row r="110" spans="1:8">
      <c r="A110" s="5" t="s">
        <v>2784</v>
      </c>
      <c r="B110" s="5" t="s">
        <v>2785</v>
      </c>
      <c r="C110" s="5" t="s">
        <v>2919</v>
      </c>
      <c r="D110" s="5" t="s">
        <v>2934</v>
      </c>
      <c r="E110" s="5" t="s">
        <v>108</v>
      </c>
      <c r="F110" s="5" t="s">
        <v>2832</v>
      </c>
      <c r="G110" s="5" t="s">
        <v>2827</v>
      </c>
      <c r="H110" s="5" t="s">
        <v>108</v>
      </c>
    </row>
    <row r="111" spans="1:8">
      <c r="A111" s="5" t="s">
        <v>2784</v>
      </c>
      <c r="B111" s="5" t="s">
        <v>2785</v>
      </c>
      <c r="C111" s="5" t="s">
        <v>2919</v>
      </c>
      <c r="D111" s="5" t="s">
        <v>2935</v>
      </c>
      <c r="E111" s="5" t="s">
        <v>108</v>
      </c>
      <c r="F111" s="5" t="s">
        <v>2832</v>
      </c>
      <c r="G111" s="5" t="s">
        <v>2827</v>
      </c>
      <c r="H111" s="5" t="s">
        <v>108</v>
      </c>
    </row>
    <row r="112" spans="1:8">
      <c r="A112" s="5" t="s">
        <v>2784</v>
      </c>
      <c r="B112" s="5" t="s">
        <v>2785</v>
      </c>
      <c r="C112" s="5" t="s">
        <v>2919</v>
      </c>
      <c r="D112" s="5" t="s">
        <v>2936</v>
      </c>
      <c r="E112" s="5" t="s">
        <v>108</v>
      </c>
      <c r="F112" s="5" t="s">
        <v>2832</v>
      </c>
      <c r="G112" s="5" t="s">
        <v>2827</v>
      </c>
      <c r="H112" s="5" t="s">
        <v>108</v>
      </c>
    </row>
    <row r="113" spans="1:8">
      <c r="A113" s="5" t="s">
        <v>2784</v>
      </c>
      <c r="B113" s="5" t="s">
        <v>2785</v>
      </c>
      <c r="C113" s="5" t="s">
        <v>2919</v>
      </c>
      <c r="D113" s="5" t="s">
        <v>2937</v>
      </c>
      <c r="E113" s="5" t="s">
        <v>108</v>
      </c>
      <c r="F113" s="5" t="s">
        <v>2852</v>
      </c>
      <c r="G113" s="5" t="s">
        <v>2827</v>
      </c>
      <c r="H113" s="5" t="s">
        <v>108</v>
      </c>
    </row>
    <row r="114" spans="1:8">
      <c r="A114" s="5" t="s">
        <v>2784</v>
      </c>
      <c r="B114" s="5" t="s">
        <v>2785</v>
      </c>
      <c r="C114" s="5" t="s">
        <v>2919</v>
      </c>
      <c r="D114" s="5" t="s">
        <v>2938</v>
      </c>
      <c r="E114" s="5" t="s">
        <v>108</v>
      </c>
      <c r="F114" s="5" t="s">
        <v>2852</v>
      </c>
      <c r="G114" s="5" t="s">
        <v>2827</v>
      </c>
      <c r="H114" s="5" t="s">
        <v>108</v>
      </c>
    </row>
    <row r="115" spans="1:8">
      <c r="A115" s="5" t="s">
        <v>2784</v>
      </c>
      <c r="B115" s="5" t="s">
        <v>2785</v>
      </c>
      <c r="C115" s="5" t="s">
        <v>2919</v>
      </c>
      <c r="D115" s="5" t="s">
        <v>2939</v>
      </c>
      <c r="E115" s="5" t="s">
        <v>108</v>
      </c>
      <c r="F115" s="5" t="s">
        <v>2852</v>
      </c>
      <c r="G115" s="5" t="s">
        <v>2827</v>
      </c>
      <c r="H115" s="5" t="s">
        <v>108</v>
      </c>
    </row>
    <row r="116" spans="1:8">
      <c r="A116" s="5" t="s">
        <v>2784</v>
      </c>
      <c r="B116" s="5" t="s">
        <v>2785</v>
      </c>
      <c r="C116" s="5" t="s">
        <v>2919</v>
      </c>
      <c r="D116" s="5" t="s">
        <v>2940</v>
      </c>
      <c r="E116" s="5" t="s">
        <v>108</v>
      </c>
      <c r="F116" s="5" t="s">
        <v>2852</v>
      </c>
      <c r="G116" s="5" t="s">
        <v>2827</v>
      </c>
      <c r="H116" s="5" t="s">
        <v>108</v>
      </c>
    </row>
    <row r="117" spans="1:8">
      <c r="A117" s="5" t="s">
        <v>2784</v>
      </c>
      <c r="B117" s="5" t="s">
        <v>2785</v>
      </c>
      <c r="C117" s="5" t="s">
        <v>2919</v>
      </c>
      <c r="D117" s="5" t="s">
        <v>2941</v>
      </c>
      <c r="E117" s="5" t="s">
        <v>108</v>
      </c>
      <c r="F117" s="5" t="s">
        <v>2863</v>
      </c>
      <c r="G117" s="5" t="s">
        <v>2827</v>
      </c>
      <c r="H117" s="5" t="s">
        <v>108</v>
      </c>
    </row>
    <row r="118" spans="1:8">
      <c r="A118" s="5" t="s">
        <v>2784</v>
      </c>
      <c r="B118" s="5" t="s">
        <v>2785</v>
      </c>
      <c r="C118" s="5" t="s">
        <v>2919</v>
      </c>
      <c r="D118" s="5" t="s">
        <v>2942</v>
      </c>
      <c r="E118" s="5" t="s">
        <v>108</v>
      </c>
      <c r="F118" s="5" t="s">
        <v>2863</v>
      </c>
      <c r="G118" s="5" t="s">
        <v>2827</v>
      </c>
      <c r="H118" s="5" t="s">
        <v>108</v>
      </c>
    </row>
    <row r="119" spans="1:8">
      <c r="A119" s="5" t="s">
        <v>2784</v>
      </c>
      <c r="B119" s="5" t="s">
        <v>2785</v>
      </c>
      <c r="C119" s="5" t="s">
        <v>2919</v>
      </c>
      <c r="D119" s="5" t="s">
        <v>2943</v>
      </c>
      <c r="E119" s="5" t="s">
        <v>108</v>
      </c>
      <c r="F119" s="5" t="s">
        <v>2863</v>
      </c>
      <c r="G119" s="5" t="s">
        <v>2827</v>
      </c>
      <c r="H119" s="5" t="s">
        <v>108</v>
      </c>
    </row>
    <row r="120" spans="1:8">
      <c r="A120" s="5" t="s">
        <v>2784</v>
      </c>
      <c r="B120" s="5" t="s">
        <v>2785</v>
      </c>
      <c r="C120" s="5" t="s">
        <v>2919</v>
      </c>
      <c r="D120" s="5" t="s">
        <v>2944</v>
      </c>
      <c r="E120" s="5" t="s">
        <v>108</v>
      </c>
      <c r="F120" s="5" t="s">
        <v>2863</v>
      </c>
      <c r="G120" s="5" t="s">
        <v>2827</v>
      </c>
      <c r="H120" s="5" t="s">
        <v>108</v>
      </c>
    </row>
    <row r="121" spans="1:8">
      <c r="A121" s="5" t="s">
        <v>2784</v>
      </c>
      <c r="B121" s="5" t="s">
        <v>2785</v>
      </c>
      <c r="C121" s="5" t="s">
        <v>2919</v>
      </c>
      <c r="D121" s="5" t="s">
        <v>2945</v>
      </c>
      <c r="E121" s="5" t="s">
        <v>108</v>
      </c>
      <c r="F121" s="5" t="s">
        <v>2863</v>
      </c>
      <c r="G121" s="5" t="s">
        <v>2827</v>
      </c>
      <c r="H121" s="5" t="s">
        <v>108</v>
      </c>
    </row>
    <row r="122" spans="1:8">
      <c r="A122" s="5" t="s">
        <v>2784</v>
      </c>
      <c r="B122" s="5" t="s">
        <v>2785</v>
      </c>
      <c r="C122" s="5" t="s">
        <v>2919</v>
      </c>
      <c r="D122" s="5" t="s">
        <v>2946</v>
      </c>
      <c r="E122" s="5" t="s">
        <v>108</v>
      </c>
      <c r="F122" s="5" t="s">
        <v>2863</v>
      </c>
      <c r="G122" s="5" t="s">
        <v>2827</v>
      </c>
      <c r="H122" s="5" t="s">
        <v>108</v>
      </c>
    </row>
    <row r="123" spans="1:8">
      <c r="A123" s="5" t="s">
        <v>2784</v>
      </c>
      <c r="B123" s="5" t="s">
        <v>2785</v>
      </c>
      <c r="C123" s="5" t="s">
        <v>2919</v>
      </c>
      <c r="D123" s="5" t="s">
        <v>2947</v>
      </c>
      <c r="E123" s="5" t="s">
        <v>108</v>
      </c>
      <c r="F123" s="5" t="s">
        <v>2863</v>
      </c>
      <c r="G123" s="5" t="s">
        <v>2827</v>
      </c>
      <c r="H123" s="5" t="s">
        <v>108</v>
      </c>
    </row>
    <row r="124" spans="1:8">
      <c r="A124" s="5" t="s">
        <v>2784</v>
      </c>
      <c r="B124" s="5" t="s">
        <v>2785</v>
      </c>
      <c r="C124" s="5" t="s">
        <v>2919</v>
      </c>
      <c r="D124" s="5" t="s">
        <v>2948</v>
      </c>
      <c r="E124" s="5" t="s">
        <v>108</v>
      </c>
      <c r="F124" s="5" t="s">
        <v>2863</v>
      </c>
      <c r="G124" s="5" t="s">
        <v>2827</v>
      </c>
      <c r="H124" s="5" t="s">
        <v>108</v>
      </c>
    </row>
    <row r="125" spans="1:8">
      <c r="A125" s="5" t="s">
        <v>2949</v>
      </c>
      <c r="B125" s="5" t="s">
        <v>62</v>
      </c>
      <c r="C125" s="5" t="s">
        <v>108</v>
      </c>
      <c r="D125" s="5" t="s">
        <v>2950</v>
      </c>
      <c r="E125" s="5" t="s">
        <v>108</v>
      </c>
      <c r="F125" s="5" t="s">
        <v>2826</v>
      </c>
      <c r="G125" s="5" t="s">
        <v>2827</v>
      </c>
      <c r="H125" s="5" t="s">
        <v>108</v>
      </c>
    </row>
    <row r="126" spans="1:8">
      <c r="A126" s="5" t="s">
        <v>2951</v>
      </c>
      <c r="B126" s="5" t="s">
        <v>63</v>
      </c>
      <c r="C126" s="5" t="s">
        <v>2952</v>
      </c>
      <c r="D126" s="5" t="s">
        <v>2953</v>
      </c>
      <c r="E126" s="5" t="s">
        <v>108</v>
      </c>
      <c r="F126" s="5" t="s">
        <v>2954</v>
      </c>
      <c r="G126" s="5" t="s">
        <v>2827</v>
      </c>
      <c r="H126" s="5" t="s">
        <v>108</v>
      </c>
    </row>
    <row r="127" spans="1:8">
      <c r="A127" s="5" t="s">
        <v>2784</v>
      </c>
      <c r="B127" s="5" t="s">
        <v>2785</v>
      </c>
      <c r="C127" s="5" t="s">
        <v>2955</v>
      </c>
      <c r="D127" s="5" t="s">
        <v>2956</v>
      </c>
      <c r="E127" s="5" t="s">
        <v>108</v>
      </c>
      <c r="F127" s="5" t="s">
        <v>2957</v>
      </c>
      <c r="G127" s="5" t="s">
        <v>2827</v>
      </c>
      <c r="H127" s="5" t="s">
        <v>2958</v>
      </c>
    </row>
    <row r="128" spans="1:8">
      <c r="A128" s="5" t="s">
        <v>2951</v>
      </c>
      <c r="B128" s="5" t="s">
        <v>2959</v>
      </c>
      <c r="C128" s="5" t="s">
        <v>2960</v>
      </c>
      <c r="D128" s="5" t="s">
        <v>2961</v>
      </c>
      <c r="E128" s="5" t="s">
        <v>108</v>
      </c>
      <c r="F128" s="5" t="s">
        <v>2962</v>
      </c>
      <c r="G128" s="5" t="s">
        <v>2827</v>
      </c>
      <c r="H128" s="5" t="s">
        <v>108</v>
      </c>
    </row>
    <row r="129" spans="1:8">
      <c r="A129" s="5" t="s">
        <v>2764</v>
      </c>
      <c r="B129" s="5" t="s">
        <v>2963</v>
      </c>
      <c r="C129" s="5" t="s">
        <v>2964</v>
      </c>
      <c r="D129" s="5" t="s">
        <v>2965</v>
      </c>
      <c r="E129" s="5" t="s">
        <v>108</v>
      </c>
      <c r="F129" s="5" t="s">
        <v>2957</v>
      </c>
      <c r="G129" s="5" t="s">
        <v>2827</v>
      </c>
      <c r="H129" s="5" t="s">
        <v>2966</v>
      </c>
    </row>
    <row r="130" spans="1:8">
      <c r="A130" s="5" t="s">
        <v>2764</v>
      </c>
      <c r="B130" s="5" t="s">
        <v>2963</v>
      </c>
      <c r="C130" s="5" t="s">
        <v>2964</v>
      </c>
      <c r="D130" s="5" t="s">
        <v>2967</v>
      </c>
      <c r="E130" s="5" t="s">
        <v>108</v>
      </c>
      <c r="F130" s="5" t="s">
        <v>2957</v>
      </c>
      <c r="G130" s="5" t="s">
        <v>2827</v>
      </c>
      <c r="H130" s="5" t="s">
        <v>2968</v>
      </c>
    </row>
    <row r="131" spans="1:8">
      <c r="A131" s="5" t="s">
        <v>2749</v>
      </c>
      <c r="B131" s="5" t="s">
        <v>2969</v>
      </c>
      <c r="C131" s="5" t="s">
        <v>2970</v>
      </c>
      <c r="D131" s="5" t="s">
        <v>2971</v>
      </c>
      <c r="E131" s="5" t="s">
        <v>108</v>
      </c>
      <c r="F131" s="5" t="s">
        <v>2957</v>
      </c>
      <c r="G131" s="5" t="s">
        <v>2827</v>
      </c>
      <c r="H131" s="5" t="s">
        <v>108</v>
      </c>
    </row>
    <row r="132" spans="1:8">
      <c r="A132" s="5" t="s">
        <v>2972</v>
      </c>
      <c r="B132" s="5" t="s">
        <v>2785</v>
      </c>
      <c r="C132" s="5" t="s">
        <v>2973</v>
      </c>
      <c r="D132" s="5" t="s">
        <v>2974</v>
      </c>
      <c r="E132" s="5" t="s">
        <v>108</v>
      </c>
      <c r="F132" s="5" t="s">
        <v>2957</v>
      </c>
      <c r="G132" s="5" t="s">
        <v>2827</v>
      </c>
      <c r="H132" s="5" t="s">
        <v>2975</v>
      </c>
    </row>
    <row r="133" spans="1:8">
      <c r="A133" s="5" t="s">
        <v>2976</v>
      </c>
      <c r="B133" s="5" t="s">
        <v>2785</v>
      </c>
      <c r="C133" s="5" t="s">
        <v>2973</v>
      </c>
      <c r="D133" s="5" t="s">
        <v>2956</v>
      </c>
      <c r="E133" s="5" t="s">
        <v>108</v>
      </c>
      <c r="F133" s="5" t="s">
        <v>2957</v>
      </c>
      <c r="G133" s="5" t="s">
        <v>2827</v>
      </c>
      <c r="H133" s="5" t="s">
        <v>2958</v>
      </c>
    </row>
    <row r="134" spans="1:8">
      <c r="A134" s="5" t="s">
        <v>2977</v>
      </c>
      <c r="B134" s="5" t="s">
        <v>2785</v>
      </c>
      <c r="C134" s="5" t="s">
        <v>2973</v>
      </c>
      <c r="D134" s="5" t="s">
        <v>2978</v>
      </c>
      <c r="E134" s="5" t="s">
        <v>108</v>
      </c>
      <c r="F134" s="5" t="s">
        <v>2957</v>
      </c>
      <c r="G134" s="5" t="s">
        <v>2827</v>
      </c>
      <c r="H134" s="5" t="s">
        <v>2979</v>
      </c>
    </row>
    <row r="135" spans="1:8">
      <c r="A135" s="5" t="s">
        <v>2980</v>
      </c>
      <c r="B135" s="5" t="s">
        <v>2785</v>
      </c>
      <c r="C135" s="5" t="s">
        <v>2973</v>
      </c>
      <c r="D135" s="5" t="s">
        <v>2981</v>
      </c>
      <c r="E135" s="5" t="s">
        <v>108</v>
      </c>
      <c r="F135" s="5" t="s">
        <v>2957</v>
      </c>
      <c r="G135" s="5" t="s">
        <v>2827</v>
      </c>
      <c r="H135" s="5" t="s">
        <v>2982</v>
      </c>
    </row>
    <row r="136" spans="1:8">
      <c r="A136" s="5" t="s">
        <v>2983</v>
      </c>
      <c r="B136" s="5" t="s">
        <v>2785</v>
      </c>
      <c r="C136" s="5" t="s">
        <v>2973</v>
      </c>
      <c r="D136" s="5" t="s">
        <v>2984</v>
      </c>
      <c r="E136" s="5" t="s">
        <v>108</v>
      </c>
      <c r="F136" s="5" t="s">
        <v>2957</v>
      </c>
      <c r="G136" s="5" t="s">
        <v>2827</v>
      </c>
      <c r="H136" s="5" t="s">
        <v>2985</v>
      </c>
    </row>
    <row r="137" spans="1:8">
      <c r="A137" s="5" t="s">
        <v>2986</v>
      </c>
      <c r="B137" s="5" t="s">
        <v>2785</v>
      </c>
      <c r="C137" s="5" t="s">
        <v>2973</v>
      </c>
      <c r="D137" s="5" t="s">
        <v>2987</v>
      </c>
      <c r="E137" s="5" t="s">
        <v>108</v>
      </c>
      <c r="F137" s="5" t="s">
        <v>2957</v>
      </c>
      <c r="G137" s="5" t="s">
        <v>2827</v>
      </c>
      <c r="H137" s="5" t="s">
        <v>2988</v>
      </c>
    </row>
    <row r="138" spans="1:8">
      <c r="A138" s="5" t="s">
        <v>2989</v>
      </c>
      <c r="B138" s="5" t="s">
        <v>2785</v>
      </c>
      <c r="C138" s="5" t="s">
        <v>2973</v>
      </c>
      <c r="D138" s="5" t="s">
        <v>2990</v>
      </c>
      <c r="E138" s="5" t="s">
        <v>108</v>
      </c>
      <c r="F138" s="5" t="s">
        <v>2957</v>
      </c>
      <c r="G138" s="5" t="s">
        <v>2827</v>
      </c>
      <c r="H138" s="5" t="s">
        <v>2991</v>
      </c>
    </row>
    <row r="139" spans="1:8">
      <c r="A139" s="5" t="s">
        <v>2992</v>
      </c>
      <c r="B139" s="5" t="s">
        <v>2785</v>
      </c>
      <c r="C139" s="5" t="s">
        <v>2973</v>
      </c>
      <c r="D139" s="5" t="s">
        <v>2993</v>
      </c>
      <c r="E139" s="5" t="s">
        <v>108</v>
      </c>
      <c r="F139" s="5" t="s">
        <v>2957</v>
      </c>
      <c r="G139" s="5" t="s">
        <v>2827</v>
      </c>
      <c r="H139" s="5" t="s">
        <v>2994</v>
      </c>
    </row>
    <row r="140" spans="1:8">
      <c r="A140" s="5" t="s">
        <v>2995</v>
      </c>
      <c r="B140" s="5" t="s">
        <v>2785</v>
      </c>
      <c r="C140" s="5" t="s">
        <v>2973</v>
      </c>
      <c r="D140" s="5" t="s">
        <v>2996</v>
      </c>
      <c r="E140" s="5" t="s">
        <v>108</v>
      </c>
      <c r="F140" s="5" t="s">
        <v>2957</v>
      </c>
      <c r="G140" s="5" t="s">
        <v>2827</v>
      </c>
      <c r="H140" s="5" t="s">
        <v>2997</v>
      </c>
    </row>
    <row r="141" spans="1:8">
      <c r="A141" s="5" t="s">
        <v>2998</v>
      </c>
      <c r="B141" s="5" t="s">
        <v>2785</v>
      </c>
      <c r="C141" s="5" t="s">
        <v>2973</v>
      </c>
      <c r="D141" s="5" t="s">
        <v>2999</v>
      </c>
      <c r="E141" s="5" t="s">
        <v>108</v>
      </c>
      <c r="F141" s="5" t="s">
        <v>2957</v>
      </c>
      <c r="G141" s="5" t="s">
        <v>2827</v>
      </c>
      <c r="H141" s="5" t="s">
        <v>3000</v>
      </c>
    </row>
    <row r="142" spans="1:8">
      <c r="A142" s="5" t="s">
        <v>69</v>
      </c>
      <c r="B142" s="5" t="s">
        <v>64</v>
      </c>
      <c r="C142" s="5" t="s">
        <v>3001</v>
      </c>
      <c r="D142" s="5" t="s">
        <v>3002</v>
      </c>
      <c r="E142" s="5" t="s">
        <v>108</v>
      </c>
      <c r="F142" s="5" t="s">
        <v>2957</v>
      </c>
      <c r="G142" s="5" t="s">
        <v>2827</v>
      </c>
      <c r="H142" s="5" t="s">
        <v>108</v>
      </c>
    </row>
    <row r="143" spans="1:8">
      <c r="A143" s="5" t="s">
        <v>3003</v>
      </c>
      <c r="B143" s="5" t="s">
        <v>2721</v>
      </c>
      <c r="C143" s="5" t="s">
        <v>3004</v>
      </c>
      <c r="D143" s="5" t="s">
        <v>3005</v>
      </c>
      <c r="E143" s="5" t="s">
        <v>108</v>
      </c>
      <c r="F143" s="5" t="s">
        <v>3006</v>
      </c>
      <c r="G143" s="5" t="s">
        <v>2827</v>
      </c>
      <c r="H143" s="5" t="s">
        <v>108</v>
      </c>
    </row>
    <row r="144" spans="1:8">
      <c r="A144" s="5" t="s">
        <v>3003</v>
      </c>
      <c r="B144" s="5" t="s">
        <v>2721</v>
      </c>
      <c r="C144" s="5" t="s">
        <v>3004</v>
      </c>
      <c r="D144" s="5" t="s">
        <v>3007</v>
      </c>
      <c r="F144" s="5" t="s">
        <v>3008</v>
      </c>
      <c r="G144" s="5" t="s">
        <v>2827</v>
      </c>
      <c r="H144" s="5" t="s">
        <v>108</v>
      </c>
    </row>
    <row r="145" spans="1:8" ht="29.25">
      <c r="A145" s="5" t="s">
        <v>3009</v>
      </c>
      <c r="B145" s="5" t="s">
        <v>3010</v>
      </c>
      <c r="C145" s="5" t="s">
        <v>108</v>
      </c>
      <c r="D145" s="5">
        <v>250902992</v>
      </c>
      <c r="E145" s="5" t="s">
        <v>108</v>
      </c>
      <c r="F145" s="5" t="s">
        <v>3011</v>
      </c>
      <c r="G145" s="5" t="s">
        <v>2827</v>
      </c>
      <c r="H145" s="5" t="s">
        <v>108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E6ADFFA8D8E94BA20D1CB34FC97C4A" ma:contentTypeVersion="12" ma:contentTypeDescription="Create a new document." ma:contentTypeScope="" ma:versionID="62d7bc3ddb65b8735f7eff17a9e52da4">
  <xsd:schema xmlns:xsd="http://www.w3.org/2001/XMLSchema" xmlns:xs="http://www.w3.org/2001/XMLSchema" xmlns:p="http://schemas.microsoft.com/office/2006/metadata/properties" xmlns:ns2="d82cacdb-e2d5-4f50-ab75-c38bfc289b61" xmlns:ns3="8a0975ea-992f-4f42-9863-e294ef63a779" targetNamespace="http://schemas.microsoft.com/office/2006/metadata/properties" ma:root="true" ma:fieldsID="97b6b6c8c4b53f534435bab6b345d813" ns2:_="" ns3:_="">
    <xsd:import namespace="d82cacdb-e2d5-4f50-ab75-c38bfc289b61"/>
    <xsd:import namespace="8a0975ea-992f-4f42-9863-e294ef63a7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2cacdb-e2d5-4f50-ab75-c38bfc289b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bfc4fc-7b10-40ef-ad6b-449eba4f1b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0975ea-992f-4f42-9863-e294ef63a77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ced7a1b-b46a-4405-88a5-54182712d3ca}" ma:internalName="TaxCatchAll" ma:showField="CatchAllData" ma:web="8a0975ea-992f-4f42-9863-e294ef63a7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2cacdb-e2d5-4f50-ab75-c38bfc289b61">
      <Terms xmlns="http://schemas.microsoft.com/office/infopath/2007/PartnerControls"/>
    </lcf76f155ced4ddcb4097134ff3c332f>
    <TaxCatchAll xmlns="8a0975ea-992f-4f42-9863-e294ef63a77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0EE9D3-0D96-4884-8354-EE9C0DA5B427}"/>
</file>

<file path=customXml/itemProps2.xml><?xml version="1.0" encoding="utf-8"?>
<ds:datastoreItem xmlns:ds="http://schemas.openxmlformats.org/officeDocument/2006/customXml" ds:itemID="{172C702F-BBD4-4A50-99F5-63034DA7961B}"/>
</file>

<file path=customXml/itemProps3.xml><?xml version="1.0" encoding="utf-8"?>
<ds:datastoreItem xmlns:ds="http://schemas.openxmlformats.org/officeDocument/2006/customXml" ds:itemID="{F54AD35A-EEF8-40A5-AC82-88D1B1C216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Antonella Vargas</dc:creator>
  <cp:keywords/>
  <dc:description/>
  <cp:lastModifiedBy/>
  <cp:revision/>
  <dcterms:created xsi:type="dcterms:W3CDTF">2026-04-13T21:33:27Z</dcterms:created>
  <dcterms:modified xsi:type="dcterms:W3CDTF">2026-08-11T18:19:10Z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0x01010038E6ADFFA8D8E94BA20D1CB34FC97C4A</vt:lpwstr>
  </property>
  <property fmtid="{D5CDD505-2E9C-101B-9397-08002B2CF9AE}" pid="3" name="MediaServiceImageTags">
    <vt:lpwstr/>
  </property>
</Properties>
</file>